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webextension1.xml" ContentType="application/vnd.ms-office.webextension+xml"/>
  <Override PartName="/xl/drawings/drawing2.xml" ContentType="application/vnd.openxmlformats-officedocument.drawing+xml"/>
  <Override PartName="/xl/webextensions/webextension2.xml" ContentType="application/vnd.ms-office.webextensi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C:\Users\Admin\Documents\NEGOCIOS\"/>
    </mc:Choice>
  </mc:AlternateContent>
  <xr:revisionPtr revIDLastSave="7661" documentId="13_ncr:1_{80A9EA30-248E-4171-A852-88E53382B154}" xr6:coauthVersionLast="47" xr6:coauthVersionMax="47" xr10:uidLastSave="{C9F8997D-3F91-4F5A-8CF0-94A0418E1ECE}"/>
  <bookViews>
    <workbookView xWindow="-120" yWindow="-120" windowWidth="20730" windowHeight="11160" xr2:uid="{4377438C-5232-423B-857A-31CDE0E56C9D}"/>
  </bookViews>
  <sheets>
    <sheet name="EDO. SIT. FINAC." sheetId="14" r:id="rId1"/>
    <sheet name="PAGOS" sheetId="13" r:id="rId2"/>
    <sheet name="ATRASOS" sheetId="19" r:id="rId3"/>
    <sheet name="CALENDARIO" sheetId="2" r:id="rId4"/>
    <sheet name="PAGO ARBITRAJE" sheetId="6" r:id="rId5"/>
    <sheet name="ASISTENCIA" sheetId="15" r:id="rId6"/>
    <sheet name="OTROS PAGOS" sheetId="20" r:id="rId7"/>
    <sheet name="DESCUENTO HERMANOS" sheetId="21" r:id="rId8"/>
    <sheet name="INFO EXPEDIENTE"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20" l="1"/>
  <c r="D42" i="20"/>
  <c r="I2" i="6"/>
  <c r="AI9" i="19"/>
  <c r="AI6" i="19"/>
  <c r="AI16" i="19"/>
  <c r="F34" i="20"/>
  <c r="D34" i="20"/>
  <c r="E40" i="19"/>
  <c r="H5" i="14" s="1"/>
  <c r="AI7" i="19"/>
  <c r="AI8" i="19"/>
  <c r="AI10" i="19"/>
  <c r="AI11" i="19"/>
  <c r="AI12" i="19"/>
  <c r="AI13" i="19"/>
  <c r="AI14" i="19"/>
  <c r="AI15" i="19"/>
  <c r="W37" i="13"/>
  <c r="V37" i="13"/>
  <c r="R37" i="13"/>
  <c r="Q37" i="13"/>
  <c r="M37" i="13"/>
  <c r="L37" i="13"/>
  <c r="H37" i="13"/>
  <c r="G37" i="13"/>
  <c r="O12" i="14"/>
  <c r="M38" i="15"/>
  <c r="E38" i="15"/>
  <c r="F38" i="15"/>
  <c r="G38" i="15"/>
  <c r="H38" i="15"/>
  <c r="I38" i="15"/>
  <c r="J38" i="15"/>
  <c r="K38" i="15"/>
  <c r="L38" i="15"/>
  <c r="N38" i="15"/>
  <c r="O38" i="15"/>
  <c r="D38" i="15"/>
  <c r="L5" i="14"/>
  <c r="T6" i="14"/>
  <c r="D13" i="14"/>
  <c r="C13" i="14"/>
  <c r="C14" i="14" s="1"/>
  <c r="L4" i="14"/>
  <c r="G34" i="6"/>
  <c r="H6" i="14" l="1"/>
  <c r="L12" i="14"/>
  <c r="F21" i="14" s="1"/>
  <c r="H7" i="14"/>
  <c r="H12" i="14"/>
  <c r="F20" i="14"/>
  <c r="F23" i="14"/>
  <c r="N19" i="14"/>
  <c r="N20" i="14"/>
</calcChain>
</file>

<file path=xl/sharedStrings.xml><?xml version="1.0" encoding="utf-8"?>
<sst xmlns="http://schemas.openxmlformats.org/spreadsheetml/2006/main" count="1071" uniqueCount="474">
  <si>
    <t>PAGOS ENTRENADORES</t>
  </si>
  <si>
    <t>INGRESOS MES</t>
  </si>
  <si>
    <t>GASTOS FIJOS</t>
  </si>
  <si>
    <t>GASTOS VARIABLES</t>
  </si>
  <si>
    <t>DINERO EN CAJA</t>
  </si>
  <si>
    <t>ERICK</t>
  </si>
  <si>
    <t>JUAN</t>
  </si>
  <si>
    <t>CAJA FEBRERO</t>
  </si>
  <si>
    <t>CANCHA</t>
  </si>
  <si>
    <t>INSCRICPCIÓN LIGA</t>
  </si>
  <si>
    <t>EN BANCOS</t>
  </si>
  <si>
    <t>ENERO</t>
  </si>
  <si>
    <t>PAGOS ATRASADOS</t>
  </si>
  <si>
    <t>ARBITRAJE</t>
  </si>
  <si>
    <t>EFECTIVO</t>
  </si>
  <si>
    <t>FEBRERO</t>
  </si>
  <si>
    <t>COLEGIATURA</t>
  </si>
  <si>
    <t>TOTAL</t>
  </si>
  <si>
    <t>MARZO</t>
  </si>
  <si>
    <t xml:space="preserve">UTILIDAD  </t>
  </si>
  <si>
    <t>POR REPARTIR ENTRE PROFESORES</t>
  </si>
  <si>
    <t>INGRESOS</t>
  </si>
  <si>
    <t>PARA CADA UNO</t>
  </si>
  <si>
    <t>GASTOS FIJOS Y VARIABLES</t>
  </si>
  <si>
    <t>ABRIL</t>
  </si>
  <si>
    <t>SEMANA 1</t>
  </si>
  <si>
    <t>SEMANA 2</t>
  </si>
  <si>
    <t>SEMANA 3</t>
  </si>
  <si>
    <t>SEMANA 4</t>
  </si>
  <si>
    <t>NO.</t>
  </si>
  <si>
    <t>NOMBRE</t>
  </si>
  <si>
    <t>MAR</t>
  </si>
  <si>
    <t>VIE</t>
  </si>
  <si>
    <t>SÁB</t>
  </si>
  <si>
    <t>Alejandro</t>
  </si>
  <si>
    <t>PAGADO</t>
  </si>
  <si>
    <t>Briand</t>
  </si>
  <si>
    <t>PENDIENTE</t>
  </si>
  <si>
    <t>Carlos</t>
  </si>
  <si>
    <t>Cristopher</t>
  </si>
  <si>
    <t>Derek</t>
  </si>
  <si>
    <t>Diego</t>
  </si>
  <si>
    <t>Emiliano</t>
  </si>
  <si>
    <t>Emmanuel</t>
  </si>
  <si>
    <t>Esteban</t>
  </si>
  <si>
    <t>Franco</t>
  </si>
  <si>
    <t>Jafet</t>
  </si>
  <si>
    <t>José</t>
  </si>
  <si>
    <t>Joshua</t>
  </si>
  <si>
    <t>Leo</t>
  </si>
  <si>
    <t>Liam</t>
  </si>
  <si>
    <t>Lionel</t>
  </si>
  <si>
    <t>Mathías</t>
  </si>
  <si>
    <t>Matías A.</t>
  </si>
  <si>
    <t>Matías Mejía</t>
  </si>
  <si>
    <t>Nicolas</t>
  </si>
  <si>
    <t>Ricardo</t>
  </si>
  <si>
    <t>Rodrigo</t>
  </si>
  <si>
    <t>Santiago Morales</t>
  </si>
  <si>
    <t>Santiago Uriel</t>
  </si>
  <si>
    <t>Santiago Tinajero</t>
  </si>
  <si>
    <t>Tadeo</t>
  </si>
  <si>
    <t>Yael</t>
  </si>
  <si>
    <t>Ximena</t>
  </si>
  <si>
    <t xml:space="preserve">PENDIENTES   </t>
  </si>
  <si>
    <t>COLEGIATURAS ENERO</t>
  </si>
  <si>
    <t>TOTAL $</t>
  </si>
  <si>
    <t>COLEGIATURAS FEBRERO</t>
  </si>
  <si>
    <t>ARBITRAJES FEBRERO</t>
  </si>
  <si>
    <t>COLEGIATURAS MARZO</t>
  </si>
  <si>
    <t>ARBITRAJES MARZO</t>
  </si>
  <si>
    <t>INSCRIPCIÓN</t>
  </si>
  <si>
    <t>GRAN TOTAL</t>
  </si>
  <si>
    <t>NA</t>
  </si>
  <si>
    <t>SEM 2 - 3</t>
  </si>
  <si>
    <t>SEM 1 - 4</t>
  </si>
  <si>
    <t xml:space="preserve">SEM 4 </t>
  </si>
  <si>
    <t>SEM 2 - 4 ENE</t>
  </si>
  <si>
    <t>SEM 3 FEB</t>
  </si>
  <si>
    <t>SEM 4 ENE</t>
  </si>
  <si>
    <t xml:space="preserve">SEM 1 - 2 FEB </t>
  </si>
  <si>
    <t>SEM 1 Y 4</t>
  </si>
  <si>
    <t>SEM 4</t>
  </si>
  <si>
    <t>SEM 3 - 4</t>
  </si>
  <si>
    <t>SEM 3</t>
  </si>
  <si>
    <t>SOLO LE ESTAMOS COBRANDO ENERO-MAR E INSCRIPCIÓN</t>
  </si>
  <si>
    <t>DESCRIPCIÓN</t>
  </si>
  <si>
    <t>FECHA</t>
  </si>
  <si>
    <t>MONTO</t>
  </si>
  <si>
    <t>PAGO JOSE DELFINO</t>
  </si>
  <si>
    <t>PAGO YAEL</t>
  </si>
  <si>
    <t>PAGO LIAM</t>
  </si>
  <si>
    <t>PAGO CRIS - MATHIAS</t>
  </si>
  <si>
    <t>PAGO EMMANUEL</t>
  </si>
  <si>
    <t>TOTAL ABRIL</t>
  </si>
  <si>
    <t>CALENDARIO</t>
  </si>
  <si>
    <t>SEPTIEMBRE</t>
  </si>
  <si>
    <t>OCTUBRE</t>
  </si>
  <si>
    <t>ENTRENAMIENTOS</t>
  </si>
  <si>
    <t>PRÁCTICA</t>
  </si>
  <si>
    <t>JORNADA 1</t>
  </si>
  <si>
    <t>JORNADA 2</t>
  </si>
  <si>
    <t>JORNADA 3</t>
  </si>
  <si>
    <t>NOVIEMBRE</t>
  </si>
  <si>
    <t>JORNADA 4</t>
  </si>
  <si>
    <t>JORNADA 5</t>
  </si>
  <si>
    <t>JORNADA 6</t>
  </si>
  <si>
    <t>JORNADA 7</t>
  </si>
  <si>
    <t>JORNADA 8</t>
  </si>
  <si>
    <t>DICIEMBRE</t>
  </si>
  <si>
    <t>JORNADA 9</t>
  </si>
  <si>
    <t>JORNADA 10</t>
  </si>
  <si>
    <t>VACACIONES</t>
  </si>
  <si>
    <t>JORNADA 11</t>
  </si>
  <si>
    <t>JORNADA 12</t>
  </si>
  <si>
    <t>SUSPENDIDA</t>
  </si>
  <si>
    <t>JORNADA 13</t>
  </si>
  <si>
    <t>OBSERVACIONES</t>
  </si>
  <si>
    <t>Se pospusó, se jugará el 18-nov</t>
  </si>
  <si>
    <t>JORNADA</t>
  </si>
  <si>
    <t>CATEGORÍA</t>
  </si>
  <si>
    <t>CAMPO</t>
  </si>
  <si>
    <t>RIVAL</t>
  </si>
  <si>
    <t>POR PAGAR</t>
  </si>
  <si>
    <t>ESTE DINERO LO DEBO PAGAR YO</t>
  </si>
  <si>
    <t>3ER LUGAR</t>
  </si>
  <si>
    <t>SUB 9</t>
  </si>
  <si>
    <t xml:space="preserve">CAR </t>
  </si>
  <si>
    <t>PANTERAS</t>
  </si>
  <si>
    <t>PONY</t>
  </si>
  <si>
    <t>TRIANGULAR</t>
  </si>
  <si>
    <t>SUB 11</t>
  </si>
  <si>
    <t>TREBOL</t>
  </si>
  <si>
    <t>MANCHESTER CITY ACOZAC</t>
  </si>
  <si>
    <t>MACROSOCCER</t>
  </si>
  <si>
    <t>ATLANTE</t>
  </si>
  <si>
    <t>TLAPACOYA</t>
  </si>
  <si>
    <t>GUERREROS</t>
  </si>
  <si>
    <t>GUERREROS AZUL</t>
  </si>
  <si>
    <t>PUMAS JR</t>
  </si>
  <si>
    <t>PACHUCA RG</t>
  </si>
  <si>
    <t>ALFREDO DEL MAZO</t>
  </si>
  <si>
    <t>SANTOS VV</t>
  </si>
  <si>
    <t>ENTRENO</t>
  </si>
  <si>
    <t>J3</t>
  </si>
  <si>
    <t>J4</t>
  </si>
  <si>
    <t>TA</t>
  </si>
  <si>
    <t>CAR</t>
  </si>
  <si>
    <t>A*</t>
  </si>
  <si>
    <t>Aramiz</t>
  </si>
  <si>
    <t xml:space="preserve">Mati </t>
  </si>
  <si>
    <t>Nico</t>
  </si>
  <si>
    <t>Valeria</t>
  </si>
  <si>
    <t>NO ASISTIÓ POR ENFERMEDAD/LESIÓN</t>
  </si>
  <si>
    <t>NO ASISTIÓ, PERO AVISÓ</t>
  </si>
  <si>
    <t>ENTRENAMIENTO DE PRUEBA</t>
  </si>
  <si>
    <t>UNIFORMES</t>
  </si>
  <si>
    <t>Mathías Maldonado</t>
  </si>
  <si>
    <t>Matias A.</t>
  </si>
  <si>
    <t xml:space="preserve">Matias   </t>
  </si>
  <si>
    <t>Pagos de inscripción a la Liga</t>
  </si>
  <si>
    <t>COLEGIATURA SEMANAL</t>
  </si>
  <si>
    <t>ARBITRAJE SEMANAL</t>
  </si>
  <si>
    <t>Los montos indicados son por los dos hijos.</t>
  </si>
  <si>
    <t>Colegiatura y arbitraje se cubren asistan o no, a excepción de causa mayor o temas de salud.</t>
  </si>
  <si>
    <t>ID</t>
  </si>
  <si>
    <t>Hora de inicio</t>
  </si>
  <si>
    <t>Hora de finalización</t>
  </si>
  <si>
    <t>Correo electrónico</t>
  </si>
  <si>
    <t>Nombre</t>
  </si>
  <si>
    <t>Hora de la última modificación</t>
  </si>
  <si>
    <t>Nombre completo:</t>
  </si>
  <si>
    <t>Fecha de nacimiento:</t>
  </si>
  <si>
    <t>Lugar de nacimiento:</t>
  </si>
  <si>
    <t>Lugar de residencia (colonia):</t>
  </si>
  <si>
    <t>Grado escolar:</t>
  </si>
  <si>
    <t>Talla (cm):</t>
  </si>
  <si>
    <t>Peso (kg):</t>
  </si>
  <si>
    <t>¿Realiza otra actividad deportiva diferente al fútbol? En dado casi que sí, ¿cuál?</t>
  </si>
  <si>
    <t>¿Presenta algún problema óseo o muscular, o algún trastorno/padecimiento diagnosticado? En dado casi que sí, ¿cuál?</t>
  </si>
  <si>
    <t>¿Cuenta con seguro médico?</t>
  </si>
  <si>
    <t>Nombre completo de la madre</t>
  </si>
  <si>
    <t>Fecha de nacimiento de la madre:</t>
  </si>
  <si>
    <t>Nombre completo del padre:</t>
  </si>
  <si>
    <t>Fecha de nacimiento del padre:</t>
  </si>
  <si>
    <t>Número telefónicos de contacto:</t>
  </si>
  <si>
    <t>¿Cuál es el motivo por el que desea que su hij@ realice la actividad física?</t>
  </si>
  <si>
    <t>¿Le gustaría que su hij@ sea profesional del Fútbol? ¿Por qué?</t>
  </si>
  <si>
    <t>Nombre a las personas y el parentesco con su hijo, de quienes podrían recogerl@ de entrenamientos y juegos:</t>
  </si>
  <si>
    <t>¿Qué esperan de nosotros como Escuela de Fútbol?</t>
  </si>
  <si>
    <t>10/15/24 13:46:05</t>
  </si>
  <si>
    <t>10/15/24 14:04:22</t>
  </si>
  <si>
    <t>anonymous</t>
  </si>
  <si>
    <t>Ximena grijalva reyes</t>
  </si>
  <si>
    <t>2/26/2016</t>
  </si>
  <si>
    <t>Ciudad de mexico</t>
  </si>
  <si>
    <t xml:space="preserve">citlamina </t>
  </si>
  <si>
    <t>3 primaria</t>
  </si>
  <si>
    <t>no ninguna</t>
  </si>
  <si>
    <t>no</t>
  </si>
  <si>
    <t>Sí</t>
  </si>
  <si>
    <t>Norma lizbeth Reyes ibarra</t>
  </si>
  <si>
    <t>Heriberto grijalva reyes</t>
  </si>
  <si>
    <t>a ella le gusta mucho</t>
  </si>
  <si>
    <t xml:space="preserve">No lo se aun </t>
  </si>
  <si>
    <t xml:space="preserve">Yaquelin reyes tía </t>
  </si>
  <si>
    <t>una buena formación para los niños</t>
  </si>
  <si>
    <t>10/15/24 13:55:38</t>
  </si>
  <si>
    <t>10/15/24 14:08:26</t>
  </si>
  <si>
    <t xml:space="preserve">Derek David Hernández Gaytan </t>
  </si>
  <si>
    <t>1/20/2017</t>
  </si>
  <si>
    <t xml:space="preserve">México </t>
  </si>
  <si>
    <t xml:space="preserve">San Buenaventura </t>
  </si>
  <si>
    <t>2° de primaria</t>
  </si>
  <si>
    <t>1.33</t>
  </si>
  <si>
    <t>No</t>
  </si>
  <si>
    <t>TDAH e impulsividad</t>
  </si>
  <si>
    <t xml:space="preserve">Claudian Arianna Gaytan León </t>
  </si>
  <si>
    <t>5/14/1987</t>
  </si>
  <si>
    <t>David Manzur Hernández Peña</t>
  </si>
  <si>
    <t>11/23/1992</t>
  </si>
  <si>
    <t xml:space="preserve">Es bueno para la salud y por su trastorno a el le ayuda mucho a disciplina y sacar energía </t>
  </si>
  <si>
    <t xml:space="preserve">Si a el le gusta y es su sueño claro q si lo apoyaría </t>
  </si>
  <si>
    <t>Fidel Angel Gaytan Lopez (Abuelo)
Juana Edith León Lopez (Abuela)</t>
  </si>
  <si>
    <t xml:space="preserve">Que mi hijo se supere cada día aprendiendo más cosas, q se divierta jugando, convivencia sana y respeto </t>
  </si>
  <si>
    <t>10/15/24 13:58:50</t>
  </si>
  <si>
    <t>10/15/24 14:10:00</t>
  </si>
  <si>
    <t xml:space="preserve">Jose Alberto Delfino Delgado </t>
  </si>
  <si>
    <t>7/27/2013</t>
  </si>
  <si>
    <t>Cdmx</t>
  </si>
  <si>
    <t xml:space="preserve">Heroes Ixtapaluca </t>
  </si>
  <si>
    <t>6to</t>
  </si>
  <si>
    <t>1.49</t>
  </si>
  <si>
    <t xml:space="preserve">Ninguno </t>
  </si>
  <si>
    <t xml:space="preserve">Ana Delgado Bibiano </t>
  </si>
  <si>
    <t>2/15/1984</t>
  </si>
  <si>
    <t xml:space="preserve">Alberto Delfino Hernández </t>
  </si>
  <si>
    <t xml:space="preserve">Quiero que forme una buena disciplina,que sepa trabajar en equipo,que sea comprometido </t>
  </si>
  <si>
    <t>Si me gustaría por qué se que lo hace feliz se que le gusta y disfruta jugar fútbol ⚽</t>
  </si>
  <si>
    <t>Ana Delgado Bibiano
Alberto Delfino Hernández
Isaac Francisco Delfino</t>
  </si>
  <si>
    <t>Que sean profesionales,que tengan siempre la mejor propuesta para que el equipo salga adelante y siga creciendo sea un equipo fuerte y reconocido</t>
  </si>
  <si>
    <t>10/17/24 12:53:28</t>
  </si>
  <si>
    <t>10/17/24 13:05:47</t>
  </si>
  <si>
    <t xml:space="preserve">SANTIAGO MORALES HERNÁNDEZ </t>
  </si>
  <si>
    <t>6/26/2015</t>
  </si>
  <si>
    <t>Ciudad de Mexico</t>
  </si>
  <si>
    <t xml:space="preserve">Centro Ixtapaluca </t>
  </si>
  <si>
    <t xml:space="preserve">4 de primaria </t>
  </si>
  <si>
    <t xml:space="preserve">34 kilos </t>
  </si>
  <si>
    <t xml:space="preserve">No </t>
  </si>
  <si>
    <t xml:space="preserve">María Guadalupe Hernández Pozos </t>
  </si>
  <si>
    <t>7/24/1988</t>
  </si>
  <si>
    <t>Jaime Morales Palafox</t>
  </si>
  <si>
    <t>11/22/1987</t>
  </si>
  <si>
    <t xml:space="preserve">Salud física y mental </t>
  </si>
  <si>
    <t xml:space="preserve">Le gusta mucho el futbol, lo apoyo hasta donde él quiera llegar </t>
  </si>
  <si>
    <t xml:space="preserve">Abuelo Gregorio Hernández
Abuela Lina Pozos </t>
  </si>
  <si>
    <t xml:space="preserve">Un equipo, profesionalismo y alguien con quien mi hijo se sienta seguro </t>
  </si>
  <si>
    <t>10/17/24 19:28:20</t>
  </si>
  <si>
    <t>10/17/24 20:23:42</t>
  </si>
  <si>
    <t xml:space="preserve">Tadeo Darío Pantoja Vieyra </t>
  </si>
  <si>
    <t xml:space="preserve">Ciudad de México </t>
  </si>
  <si>
    <t xml:space="preserve">Las Palmas tres </t>
  </si>
  <si>
    <t>5° Grado de Primaria</t>
  </si>
  <si>
    <t>1.38 cm</t>
  </si>
  <si>
    <t>21,800 kg</t>
  </si>
  <si>
    <t>Ninguna</t>
  </si>
  <si>
    <t xml:space="preserve">Alergia a los ácaros </t>
  </si>
  <si>
    <t>Claudia Vieyra Medrano</t>
  </si>
  <si>
    <t xml:space="preserve">Roberto Pantoja García </t>
  </si>
  <si>
    <t>5580499218 (papá) 5573635300 (mamá)</t>
  </si>
  <si>
    <t>Para su óptimo desarrollo, físico, mental y emocional</t>
  </si>
  <si>
    <t>Si nos gustaría, porque es algo que él desea, le emociona y le gustaría mucho, sabemos que es un camino difícil más no imposible, y creemos vamos por buen comienzo.</t>
  </si>
  <si>
    <t xml:space="preserve">Papá, Mamá, Hermano Leonardo Pantoja Vieyra, y algunas veces nos apoyamos con los papás de Rodrigo </t>
  </si>
  <si>
    <t>Que sienten las bases en cuanto conocimientos en el fútbol, disciplina, desarrollo de habilidades, destrezas que el deporte exige, si me gustaría que no sólo un rato de actividad física, que sea realmente una escuela con disciplina, órden, que se les exija a los niños dar lo mejor de sí, que se les vea una evolución, todo ello en un ambiente de respeto, compañerismo y sana convivencia con todos los que estamos alrededor de los niños (equipo, papás, profesores ) así mismo nos comprometemos a dar lo que a nosotros nos confiere, también me gustaría que en alguna ocasión nos den una retroalimentación en particular de mi hijo como va, si avanza o no, tal vez que se le puede reforzar, si lo ven con aptitudes de llegar lejos o no. Y Gracias por haber tomado el reto Profes es el inicio de algo Grande 😊</t>
  </si>
  <si>
    <t>10/17/24 20:30:55</t>
  </si>
  <si>
    <t>10/17/24 20:41:31</t>
  </si>
  <si>
    <t>IRVING EMILIANO SOLORZANO RANGEL</t>
  </si>
  <si>
    <t>CHALCO</t>
  </si>
  <si>
    <t>JORGE JIMENEZ CANTU</t>
  </si>
  <si>
    <t>6°</t>
  </si>
  <si>
    <t>FUTBOL EN EL TORNEO DE LA ESCUELA</t>
  </si>
  <si>
    <t>NO</t>
  </si>
  <si>
    <t>XITLALIC ITZEL RANGEL FARIAS</t>
  </si>
  <si>
    <t>JUAN JOSE RANGEL ORTEGA</t>
  </si>
  <si>
    <t>LE GUSTA EL FUTBOL Y ESTE SANO</t>
  </si>
  <si>
    <t>SI EL LO DESEA, SI; PORQUE ES SU SUEÑO Y PORQUE LE GUSTA</t>
  </si>
  <si>
    <t>XITLALIC ITZEL RANGEL FARIAS
XITLALIC FARIAS MUÑOZ
JUAN JOSE RANGEL ORTEGA</t>
  </si>
  <si>
    <t>QUE FORMEN A MI HIJO DE FORMA INTEGRAL, QUE ENSEÑEN AL TRABAJO EN EQUIPO Y QUE ENTUSIASMEN A LOS CHICOS, YA QUE ESO LOS MOTIVA</t>
  </si>
  <si>
    <t>10/17/24 20:42:56</t>
  </si>
  <si>
    <t>10/17/24 21:04:42</t>
  </si>
  <si>
    <t xml:space="preserve">Rodrigo Ulises Ortega Carrillo </t>
  </si>
  <si>
    <t>11/29/2013</t>
  </si>
  <si>
    <t>Palmas III</t>
  </si>
  <si>
    <t xml:space="preserve">6to primaria </t>
  </si>
  <si>
    <t>1.35</t>
  </si>
  <si>
    <t xml:space="preserve">Ninguna </t>
  </si>
  <si>
    <t xml:space="preserve">Karla R. Carrillo Gómez </t>
  </si>
  <si>
    <t xml:space="preserve">Gabriel Ortega Alarcón </t>
  </si>
  <si>
    <t>8/24/1974</t>
  </si>
  <si>
    <t>5513669946 - 5550699176</t>
  </si>
  <si>
    <t xml:space="preserve">Por gusto del pequeño </t>
  </si>
  <si>
    <t>Si, es su sueño</t>
  </si>
  <si>
    <t xml:space="preserve">Gabriel Ortega y Karla Carrillo </t>
  </si>
  <si>
    <t xml:space="preserve">Que el pequeño crezca futbolísticamente y que se busquen oportunidades para cumplir su sueño, impulsarlo en alguna oportunidad que se pueda presentar </t>
  </si>
  <si>
    <t>10/17/24 21:27:36</t>
  </si>
  <si>
    <t>10/17/24 21:35:12</t>
  </si>
  <si>
    <t>Liam Mateo García Gomez</t>
  </si>
  <si>
    <t>20kg</t>
  </si>
  <si>
    <t xml:space="preserve">Sheila Gabriela Gómez Cortes </t>
  </si>
  <si>
    <t>Erick García Solchaga</t>
  </si>
  <si>
    <t>9/27/1993</t>
  </si>
  <si>
    <t>5611923898 / 5618702925</t>
  </si>
  <si>
    <t xml:space="preserve">Salud física, mental, compromiso, responsabilidad, compañerismo </t>
  </si>
  <si>
    <t xml:space="preserve">Si es el sueño de Liam será por decisión de él y contará con nuestro apoyo </t>
  </si>
  <si>
    <t xml:space="preserve">Juan García - abuelo
Diana Solchaga - abuela
Cristina Cortes - abuela
Gabriel Gómez - abuelo </t>
  </si>
  <si>
    <t>Formación física, personal así como inculcar valores que aporten su crecimiento.</t>
  </si>
  <si>
    <t>10/17/24 21:55:43</t>
  </si>
  <si>
    <t>10/17/24 22:00:11</t>
  </si>
  <si>
    <t xml:space="preserve">Cristopher Antonio Maldonado López </t>
  </si>
  <si>
    <t>5/20/2013</t>
  </si>
  <si>
    <t xml:space="preserve">San buenaventura </t>
  </si>
  <si>
    <t>1.25</t>
  </si>
  <si>
    <t xml:space="preserve">Gabriela Ivette López Castelan </t>
  </si>
  <si>
    <t>5/25/1995</t>
  </si>
  <si>
    <t xml:space="preserve">José Antonio Maldonado mejia </t>
  </si>
  <si>
    <t>4/23/1992</t>
  </si>
  <si>
    <t xml:space="preserve">Le encanta el partido y quiere superarse </t>
  </si>
  <si>
    <t xml:space="preserve">Si </t>
  </si>
  <si>
    <t xml:space="preserve">Ariana Gaytán </t>
  </si>
  <si>
    <t xml:space="preserve">Ser una escuela super exitosa q logren el sábado xito junto con sus niños </t>
  </si>
  <si>
    <t>10/18/24 9:31:54</t>
  </si>
  <si>
    <t>10/18/24 9:42:01</t>
  </si>
  <si>
    <t xml:space="preserve">Calderón Beltrán Emmanuel </t>
  </si>
  <si>
    <t>5/21/2013</t>
  </si>
  <si>
    <t xml:space="preserve">San Buenaventura, Ixtapaluca Estado de México </t>
  </si>
  <si>
    <t xml:space="preserve">Ampliación San Francisco </t>
  </si>
  <si>
    <t xml:space="preserve">Sexto de primaria </t>
  </si>
  <si>
    <t xml:space="preserve">Beltrán García Evelin </t>
  </si>
  <si>
    <t>2/15/1993</t>
  </si>
  <si>
    <t xml:space="preserve">Calderón Hine Oscar Daniel </t>
  </si>
  <si>
    <t>1/27/1993</t>
  </si>
  <si>
    <t>Para que tenga un buen desarrollo físico, mental ,motriz y también porque es algo le ayuda en el ámbito social y como individuo para que despeje la mente de las actividades del día a día.</t>
  </si>
  <si>
    <t xml:space="preserve">Si es un sueño para él, nosotros como padres estamos en la mejor disposición de apoyarlo , por qué a final de cuenta no es lo que nosotros queramos , es lo que a él le guste y se sienta cómodo con ellos </t>
  </si>
  <si>
    <t xml:space="preserve">Oscar Daniel Calderón Hine (padre)
Evelin Beltrán García (madre)
Erick Beltrán García (tío) </t>
  </si>
  <si>
    <t>Que  comprometidos y honestos , buen trato  hacia los alumnos.  Que sean capaces de impartir disciplina en un ambiente  seguro ,cómodo y amigable.</t>
  </si>
  <si>
    <t>10/18/24 14:55:06</t>
  </si>
  <si>
    <t>10/18/24 15:19:14</t>
  </si>
  <si>
    <t xml:space="preserve">Leonel Alejandro Méndez Ruiz </t>
  </si>
  <si>
    <t>4/13/2016</t>
  </si>
  <si>
    <t xml:space="preserve">Estado de México </t>
  </si>
  <si>
    <t xml:space="preserve">Santa barbara Ixtapaluca </t>
  </si>
  <si>
    <t xml:space="preserve">Segundo grado </t>
  </si>
  <si>
    <t>1.30</t>
  </si>
  <si>
    <t>30 k</t>
  </si>
  <si>
    <t xml:space="preserve">Nancy Ruiz calderón </t>
  </si>
  <si>
    <t>7/23/1981</t>
  </si>
  <si>
    <t xml:space="preserve">Lino Méndez laso </t>
  </si>
  <si>
    <t xml:space="preserve">Por salud </t>
  </si>
  <si>
    <t xml:space="preserve">Sí </t>
  </si>
  <si>
    <t>Nancy Ruiz calderón. Mamá
Lino Méndez laso. Papá</t>
  </si>
  <si>
    <t xml:space="preserve">Disciplina </t>
  </si>
  <si>
    <t>10/25/24 15:44:05</t>
  </si>
  <si>
    <t>10/25/24 15:51:43</t>
  </si>
  <si>
    <t>Briand Said Hernandez Torres</t>
  </si>
  <si>
    <t>5/29/2013</t>
  </si>
  <si>
    <t>Ixtapaluca Estado de mexico</t>
  </si>
  <si>
    <t>El tablon</t>
  </si>
  <si>
    <t xml:space="preserve">6 to de primaria </t>
  </si>
  <si>
    <t xml:space="preserve">Evelyn Torres Hernandez </t>
  </si>
  <si>
    <t>6/14/1995</t>
  </si>
  <si>
    <t>Irving Brian Hernandez Ramirez</t>
  </si>
  <si>
    <t>3/14/1995</t>
  </si>
  <si>
    <t>Por gusto</t>
  </si>
  <si>
    <t xml:space="preserve">Si
Por que es su sueño más grande </t>
  </si>
  <si>
    <t>Evelyn Torres Hernandez (MADRE)
Irving Hernandez Ramirez (PADRE)</t>
  </si>
  <si>
    <t>Que le enseñen mucha disciplina y compromiso</t>
  </si>
  <si>
    <t>10/31/24 8:59:41</t>
  </si>
  <si>
    <t>10/31/24 9:06:15</t>
  </si>
  <si>
    <t>MATIAS ALEJANDRO SILVA BAUTISTA</t>
  </si>
  <si>
    <t>ECATEPEC, ESTADO DE MÉXICO</t>
  </si>
  <si>
    <t>LOS HÉROES, IXTAPALUCA</t>
  </si>
  <si>
    <t>4TO</t>
  </si>
  <si>
    <t>SÍ, ASMA.</t>
  </si>
  <si>
    <t>NAYELI IRAIS BAUTISTA GARCÍA</t>
  </si>
  <si>
    <t>JUAN LUIS SILVA AVILA</t>
  </si>
  <si>
    <t>6/18/1986</t>
  </si>
  <si>
    <t>5540625282 - 5579005387</t>
  </si>
  <si>
    <t>ADQUIERA VALORES, COMPROMISO Y DISCIPLINA.</t>
  </si>
  <si>
    <t>NOTO QUE A ÉL LE GUSTA Y PIENSA EN ELLO, SI ESO ES LO QUE QUIERE, LO APOYAREMOS MUCHO.</t>
  </si>
  <si>
    <t>NAYELI IRAIS BAUTISTA GARCÍA (MADRE), JORGE SANTOS (ABUELITO), ROSA GARCÍA (ABUELITA).</t>
  </si>
  <si>
    <t>QUE MI HIJO ESTÉ CONTENTO Y DISFRUTE MUCHO LO QUE HAGA.</t>
  </si>
  <si>
    <t>Lionel Palmerin Mora</t>
  </si>
  <si>
    <t>3/28/2015</t>
  </si>
  <si>
    <t>Ixtapaluca</t>
  </si>
  <si>
    <t>Tlayehuale</t>
  </si>
  <si>
    <t>4 primaria</t>
  </si>
  <si>
    <t>145 cm</t>
  </si>
  <si>
    <t xml:space="preserve">Natación </t>
  </si>
  <si>
    <t>Karen Mora cruz</t>
  </si>
  <si>
    <t>7/26/1988</t>
  </si>
  <si>
    <t>Juan Carlos Palmerin Fonseca</t>
  </si>
  <si>
    <t>1/24/1978</t>
  </si>
  <si>
    <t xml:space="preserve">Le gusta mucho el futbol </t>
  </si>
  <si>
    <t xml:space="preserve">Karen Mora cruz
Juan Carlos Palmerin Fonseca </t>
  </si>
  <si>
    <t xml:space="preserve">Que mi hijo se divierta ,aprenda a jugar bien el fútbol </t>
  </si>
  <si>
    <t>11/21/24 11:49:17</t>
  </si>
  <si>
    <t>11/21/24 12:01:55</t>
  </si>
  <si>
    <t>Franco Ruiz Ponce</t>
  </si>
  <si>
    <t>6/22/2018</t>
  </si>
  <si>
    <t>La venta Ixtapaluca</t>
  </si>
  <si>
    <t>Primero de primaria</t>
  </si>
  <si>
    <t>1.26</t>
  </si>
  <si>
    <t>Laura Ponce Benitez</t>
  </si>
  <si>
    <t xml:space="preserve">Ulises Ruiz Pozos </t>
  </si>
  <si>
    <t>Para un mejor rendimiento y disciplina</t>
  </si>
  <si>
    <t xml:space="preserve">No, xq solo es por distracción </t>
  </si>
  <si>
    <t>Laura Ponce Benitez madre
Ulises Ruiz Pozos padre</t>
  </si>
  <si>
    <t>Que tenga un buen desarrollo en lo físico familia me y social</t>
  </si>
  <si>
    <t xml:space="preserve">Jafet Itzae Reyes Ibarra </t>
  </si>
  <si>
    <t>4/15/2015</t>
  </si>
  <si>
    <t xml:space="preserve">Col.Valle Verde Ixtapaluca </t>
  </si>
  <si>
    <t>4°</t>
  </si>
  <si>
    <t>1.40 cm</t>
  </si>
  <si>
    <t>26 kg</t>
  </si>
  <si>
    <t>Ninguno</t>
  </si>
  <si>
    <t xml:space="preserve">Abril Gabriela Ibarra Trejo </t>
  </si>
  <si>
    <t>1/30/1981</t>
  </si>
  <si>
    <t xml:space="preserve">Isaac reyes Rodríguez </t>
  </si>
  <si>
    <t xml:space="preserve">No busco que sea profesional, me gusta que realice deporte </t>
  </si>
  <si>
    <t>Hilda Trejo Guzmán (abuela)
Alvaro Ibarra Sánchez (abuelo)</t>
  </si>
  <si>
    <t>Fomentar las habilidades del fútbol, las acciones técnicas y tácticas, más conocimiento del deporte, valores.</t>
  </si>
  <si>
    <t>Ricardo Jaziel Leon Díaz</t>
  </si>
  <si>
    <t>1/25/2014</t>
  </si>
  <si>
    <t xml:space="preserve">Quinto </t>
  </si>
  <si>
    <t xml:space="preserve">Jarmín Díaz Enciso </t>
  </si>
  <si>
    <t>Ricardo Leon Martell</t>
  </si>
  <si>
    <t>12/13/2024</t>
  </si>
  <si>
    <t xml:space="preserve">Desarrollo físico y mental </t>
  </si>
  <si>
    <t xml:space="preserve">Cristian Jarek Miranda Díaz </t>
  </si>
  <si>
    <t xml:space="preserve">Que tenga un crecimiento deportivo </t>
  </si>
  <si>
    <t>12/16/24 11:23:31</t>
  </si>
  <si>
    <t>12/16/24 11:29:02</t>
  </si>
  <si>
    <t>Esteban Pantoja Caballero</t>
  </si>
  <si>
    <t>CDMX</t>
  </si>
  <si>
    <t>Ampliación Acozac</t>
  </si>
  <si>
    <t xml:space="preserve">4o primaria </t>
  </si>
  <si>
    <t>1.34 cm</t>
  </si>
  <si>
    <t>33kg</t>
  </si>
  <si>
    <t xml:space="preserve">Béisbol </t>
  </si>
  <si>
    <t>Bertha Caballero Baz</t>
  </si>
  <si>
    <t xml:space="preserve">Rodrigo Pantoja Gutiérrez </t>
  </si>
  <si>
    <t>5/25/1981</t>
  </si>
  <si>
    <t>5540904600 5539939326</t>
  </si>
  <si>
    <t>Es importante practicar un deporte o actividad extra</t>
  </si>
  <si>
    <t xml:space="preserve">El quiere ser profesional y nosotros lo apoyamos </t>
  </si>
  <si>
    <t xml:space="preserve">Guadalupe Baz Zaballa abuela materna </t>
  </si>
  <si>
    <t xml:space="preserve">Entrenamientos completos e inculcar valores </t>
  </si>
  <si>
    <t>1/23/25 12:58:32</t>
  </si>
  <si>
    <t>1/23/25 13:03:20</t>
  </si>
  <si>
    <t xml:space="preserve">Yael Daniel Ubaldo Martinez </t>
  </si>
  <si>
    <t>7/18/2015</t>
  </si>
  <si>
    <t>Estado de mexico</t>
  </si>
  <si>
    <t xml:space="preserve">San buenaventura Ixtapaluca </t>
  </si>
  <si>
    <t>37kg</t>
  </si>
  <si>
    <t>No ninguna</t>
  </si>
  <si>
    <t xml:space="preserve">Nallely Fernanda Martinez Chávez </t>
  </si>
  <si>
    <t>11/26/1991</t>
  </si>
  <si>
    <t>Yosmar Fabián Arzate flores</t>
  </si>
  <si>
    <t>3/28/1998</t>
  </si>
  <si>
    <t xml:space="preserve">Por qué le gusta el futbol </t>
  </si>
  <si>
    <t>Si porque es su sueño</t>
  </si>
  <si>
    <t xml:space="preserve">Yosmar FABIAN </t>
  </si>
  <si>
    <t xml:space="preserve">Enseñanza y aprendizaje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</si>
</sst>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0.00_-;\-&quot;$&quot;* #,##0.00_-;_-&quot;$&quot;* &quot;-&quot;??_-;_-@_-"/>
    <numFmt numFmtId="165" formatCode="_-[$$-80A]* #,##0.00_-;\-[$$-80A]* #,##0.00_-;_-[$$-80A]* &quot;-&quot;??_-;_-@_-"/>
  </numFmts>
  <fonts count="9">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sz val="11"/>
      <color rgb="FF242424"/>
      <name val="Aptos Narrow"/>
      <charset val="1"/>
    </font>
    <font>
      <b/>
      <sz val="11"/>
      <color rgb="FFFFFFFF"/>
      <name val="Calibri"/>
      <family val="2"/>
    </font>
    <font>
      <sz val="11"/>
      <color rgb="FF000000"/>
      <name val="Calibri"/>
      <family val="2"/>
    </font>
    <font>
      <b/>
      <sz val="11"/>
      <color theme="0"/>
      <name val="Calibri"/>
      <family val="2"/>
      <scheme val="minor"/>
    </font>
  </fonts>
  <fills count="22">
    <fill>
      <patternFill patternType="none"/>
    </fill>
    <fill>
      <patternFill patternType="gray125"/>
    </fill>
    <fill>
      <patternFill patternType="solid">
        <fgColor rgb="FF00B0F0"/>
        <bgColor indexed="64"/>
      </patternFill>
    </fill>
    <fill>
      <patternFill patternType="solid">
        <fgColor theme="7" tint="0.79998168889431442"/>
        <bgColor indexed="64"/>
      </patternFill>
    </fill>
    <fill>
      <patternFill patternType="solid">
        <fgColor rgb="FF00B05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7"/>
        <bgColor indexed="64"/>
      </patternFill>
    </fill>
    <fill>
      <patternFill patternType="solid">
        <fgColor theme="4" tint="0.59999389629810485"/>
        <bgColor indexed="64"/>
      </patternFill>
    </fill>
    <fill>
      <patternFill patternType="solid">
        <fgColor theme="4"/>
        <bgColor indexed="64"/>
      </patternFill>
    </fill>
    <fill>
      <patternFill patternType="solid">
        <fgColor rgb="FFA4F3F5"/>
        <bgColor indexed="64"/>
      </patternFill>
    </fill>
    <fill>
      <patternFill patternType="solid">
        <fgColor rgb="FF20F1F5"/>
        <bgColor indexed="64"/>
      </patternFill>
    </fill>
    <fill>
      <patternFill patternType="solid">
        <fgColor rgb="FFFFC000"/>
        <bgColor indexed="64"/>
      </patternFill>
    </fill>
    <fill>
      <patternFill patternType="solid">
        <fgColor rgb="FF5B9BD5"/>
        <bgColor rgb="FF5B9BD5"/>
      </patternFill>
    </fill>
    <fill>
      <patternFill patternType="solid">
        <fgColor rgb="FFDDEBF7"/>
        <bgColor rgb="FFDDEBF7"/>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indexed="64"/>
      </left>
      <right style="thin">
        <color indexed="64"/>
      </right>
      <top style="thin">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style="thin">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thin">
        <color rgb="FF000000"/>
      </top>
      <bottom/>
      <diagonal/>
    </border>
    <border>
      <left style="thin">
        <color indexed="64"/>
      </left>
      <right/>
      <top style="thin">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thin">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indexed="64"/>
      </right>
      <top style="thin">
        <color indexed="64"/>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bottom/>
      <diagonal/>
    </border>
    <border>
      <left style="medium">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279">
    <xf numFmtId="0" fontId="0" fillId="0" borderId="0" xfId="0"/>
    <xf numFmtId="0" fontId="0" fillId="0" borderId="0" xfId="0" applyAlignment="1">
      <alignment horizontal="center"/>
    </xf>
    <xf numFmtId="164" fontId="0" fillId="0" borderId="0" xfId="0" applyNumberFormat="1"/>
    <xf numFmtId="164" fontId="0" fillId="0" borderId="1" xfId="1" applyFont="1" applyBorder="1" applyAlignment="1">
      <alignment horizontal="center"/>
    </xf>
    <xf numFmtId="0" fontId="0" fillId="5" borderId="1" xfId="0" applyFill="1" applyBorder="1" applyAlignment="1">
      <alignment horizontal="center" vertical="center"/>
    </xf>
    <xf numFmtId="164" fontId="0" fillId="6" borderId="0" xfId="0" applyNumberFormat="1" applyFill="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5" borderId="1" xfId="0" applyFont="1" applyFill="1" applyBorder="1" applyAlignment="1">
      <alignment horizontal="center"/>
    </xf>
    <xf numFmtId="0" fontId="2" fillId="5" borderId="1" xfId="0" applyFont="1" applyFill="1" applyBorder="1" applyAlignment="1">
      <alignment horizontal="center" vertical="center"/>
    </xf>
    <xf numFmtId="0" fontId="2" fillId="9" borderId="1" xfId="0" applyFont="1" applyFill="1" applyBorder="1" applyAlignment="1">
      <alignment horizontal="center"/>
    </xf>
    <xf numFmtId="0" fontId="2" fillId="9" borderId="1" xfId="0" applyFont="1" applyFill="1" applyBorder="1" applyAlignment="1">
      <alignment horizontal="center" vertical="center"/>
    </xf>
    <xf numFmtId="0" fontId="2" fillId="8" borderId="1" xfId="0" applyFont="1" applyFill="1" applyBorder="1" applyAlignment="1">
      <alignment horizontal="center"/>
    </xf>
    <xf numFmtId="0" fontId="2" fillId="8" borderId="1" xfId="0" applyFont="1" applyFill="1" applyBorder="1" applyAlignment="1">
      <alignment horizontal="center" vertical="center"/>
    </xf>
    <xf numFmtId="0" fontId="0" fillId="10" borderId="0" xfId="0" applyFill="1"/>
    <xf numFmtId="0" fontId="2" fillId="10" borderId="0" xfId="0" applyFont="1" applyFill="1"/>
    <xf numFmtId="164" fontId="0" fillId="0" borderId="0" xfId="1" applyFont="1"/>
    <xf numFmtId="0" fontId="0" fillId="5" borderId="7" xfId="0" applyFill="1" applyBorder="1" applyAlignment="1">
      <alignment horizontal="center"/>
    </xf>
    <xf numFmtId="43" fontId="0" fillId="0" borderId="0" xfId="0" applyNumberFormat="1"/>
    <xf numFmtId="165" fontId="0" fillId="0" borderId="0" xfId="0" applyNumberFormat="1"/>
    <xf numFmtId="165" fontId="0" fillId="0" borderId="0" xfId="1" applyNumberFormat="1" applyFont="1"/>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indent="1"/>
    </xf>
    <xf numFmtId="0" fontId="2" fillId="5" borderId="6" xfId="0" applyFont="1" applyFill="1" applyBorder="1" applyAlignment="1">
      <alignment horizontal="center" vertical="center" indent="1"/>
    </xf>
    <xf numFmtId="0" fontId="2" fillId="10" borderId="0" xfId="0" applyFont="1" applyFill="1" applyAlignment="1">
      <alignment horizontal="center"/>
    </xf>
    <xf numFmtId="0" fontId="2" fillId="10" borderId="0" xfId="0" applyFont="1" applyFill="1" applyAlignment="1">
      <alignment horizontal="center" vertical="center"/>
    </xf>
    <xf numFmtId="0" fontId="2" fillId="8" borderId="2"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6" xfId="0" applyFont="1" applyFill="1" applyBorder="1" applyAlignment="1">
      <alignment horizontal="center" vertical="center"/>
    </xf>
    <xf numFmtId="0" fontId="2" fillId="12" borderId="6" xfId="0" applyFont="1" applyFill="1" applyBorder="1" applyAlignment="1">
      <alignment horizontal="center"/>
    </xf>
    <xf numFmtId="0" fontId="2" fillId="12" borderId="6" xfId="0" applyFont="1" applyFill="1" applyBorder="1" applyAlignment="1">
      <alignment horizontal="center" vertical="center"/>
    </xf>
    <xf numFmtId="0" fontId="2" fillId="8" borderId="5" xfId="0" applyFont="1" applyFill="1" applyBorder="1" applyAlignment="1">
      <alignment horizontal="center"/>
    </xf>
    <xf numFmtId="0" fontId="2" fillId="14" borderId="6" xfId="0" applyFont="1" applyFill="1" applyBorder="1" applyAlignment="1">
      <alignment horizontal="center" vertical="center"/>
    </xf>
    <xf numFmtId="0" fontId="2" fillId="12" borderId="13" xfId="0" applyFont="1" applyFill="1" applyBorder="1" applyAlignment="1">
      <alignment horizontal="center" vertical="center"/>
    </xf>
    <xf numFmtId="0" fontId="2" fillId="14" borderId="6" xfId="0" applyFont="1" applyFill="1" applyBorder="1" applyAlignment="1">
      <alignment horizontal="center"/>
    </xf>
    <xf numFmtId="0" fontId="2" fillId="12" borderId="14" xfId="0" applyFont="1" applyFill="1" applyBorder="1" applyAlignment="1">
      <alignment horizontal="center" vertical="center"/>
    </xf>
    <xf numFmtId="0" fontId="2" fillId="12" borderId="15" xfId="0" applyFont="1" applyFill="1" applyBorder="1" applyAlignment="1">
      <alignment horizontal="center" vertical="center"/>
    </xf>
    <xf numFmtId="165" fontId="0" fillId="0" borderId="0" xfId="0" applyNumberFormat="1" applyAlignment="1">
      <alignment horizontal="center"/>
    </xf>
    <xf numFmtId="15" fontId="0" fillId="0" borderId="0" xfId="0" applyNumberFormat="1" applyAlignment="1">
      <alignment horizontal="center"/>
    </xf>
    <xf numFmtId="0" fontId="7" fillId="18" borderId="17" xfId="0" applyFont="1" applyFill="1" applyBorder="1" applyAlignment="1">
      <alignment wrapText="1"/>
    </xf>
    <xf numFmtId="164" fontId="0" fillId="0" borderId="0" xfId="1" applyFont="1" applyAlignment="1"/>
    <xf numFmtId="164" fontId="0" fillId="0" borderId="0" xfId="0" applyNumberFormat="1" applyAlignment="1">
      <alignment vertical="center"/>
    </xf>
    <xf numFmtId="164" fontId="0" fillId="6" borderId="0" xfId="0" applyNumberFormat="1" applyFill="1" applyAlignment="1">
      <alignment horizontal="center"/>
    </xf>
    <xf numFmtId="164" fontId="0" fillId="0" borderId="0" xfId="1" applyFon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xf>
    <xf numFmtId="0" fontId="0" fillId="0" borderId="0" xfId="0" applyAlignment="1">
      <alignment horizontal="center" vertical="center"/>
    </xf>
    <xf numFmtId="16" fontId="0" fillId="0" borderId="0" xfId="0" applyNumberFormat="1" applyAlignment="1">
      <alignment horizontal="center"/>
    </xf>
    <xf numFmtId="14" fontId="0" fillId="0" borderId="0" xfId="0" applyNumberFormat="1"/>
    <xf numFmtId="0" fontId="0" fillId="5" borderId="23" xfId="0" applyFill="1" applyBorder="1" applyAlignment="1">
      <alignment horizontal="center"/>
    </xf>
    <xf numFmtId="0" fontId="0" fillId="5" borderId="25" xfId="0" applyFill="1" applyBorder="1" applyAlignment="1">
      <alignment horizontal="center" vertical="center"/>
    </xf>
    <xf numFmtId="164" fontId="0" fillId="0" borderId="27" xfId="1" applyFont="1" applyBorder="1" applyAlignment="1">
      <alignment horizontal="center"/>
    </xf>
    <xf numFmtId="164" fontId="0" fillId="0" borderId="32" xfId="1" applyFont="1" applyBorder="1" applyAlignment="1">
      <alignment horizontal="center"/>
    </xf>
    <xf numFmtId="164" fontId="0" fillId="0" borderId="33" xfId="1" applyFont="1" applyBorder="1" applyAlignment="1">
      <alignment horizontal="center"/>
    </xf>
    <xf numFmtId="164" fontId="0" fillId="0" borderId="2" xfId="1" applyFont="1" applyBorder="1" applyAlignment="1">
      <alignment horizontal="center"/>
    </xf>
    <xf numFmtId="164" fontId="0" fillId="0" borderId="35" xfId="1" applyFont="1"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19" borderId="7" xfId="0" applyFill="1" applyBorder="1" applyAlignment="1">
      <alignment horizontal="center"/>
    </xf>
    <xf numFmtId="0" fontId="0" fillId="19" borderId="1" xfId="0" applyFill="1" applyBorder="1" applyAlignment="1">
      <alignment horizontal="center" vertical="center"/>
    </xf>
    <xf numFmtId="0" fontId="0" fillId="3" borderId="23" xfId="0" applyFill="1" applyBorder="1" applyAlignment="1">
      <alignment horizontal="center"/>
    </xf>
    <xf numFmtId="0" fontId="0" fillId="3" borderId="7" xfId="0" applyFill="1" applyBorder="1" applyAlignment="1">
      <alignment horizontal="center"/>
    </xf>
    <xf numFmtId="0" fontId="0" fillId="3" borderId="25" xfId="0" applyFill="1" applyBorder="1" applyAlignment="1">
      <alignment horizontal="center" vertical="center"/>
    </xf>
    <xf numFmtId="0" fontId="0" fillId="3" borderId="1" xfId="0" applyFill="1" applyBorder="1" applyAlignment="1">
      <alignment horizontal="center" vertical="center"/>
    </xf>
    <xf numFmtId="0" fontId="0" fillId="20" borderId="23" xfId="0" applyFill="1" applyBorder="1" applyAlignment="1">
      <alignment horizontal="center"/>
    </xf>
    <xf numFmtId="0" fontId="0" fillId="20" borderId="7" xfId="0" applyFill="1" applyBorder="1" applyAlignment="1">
      <alignment horizontal="center"/>
    </xf>
    <xf numFmtId="0" fontId="0" fillId="20" borderId="25" xfId="0" applyFill="1" applyBorder="1" applyAlignment="1">
      <alignment horizontal="center" vertical="center"/>
    </xf>
    <xf numFmtId="0" fontId="0" fillId="20" borderId="1" xfId="0" applyFill="1" applyBorder="1" applyAlignment="1">
      <alignment horizontal="center" vertical="center"/>
    </xf>
    <xf numFmtId="0" fontId="0" fillId="0" borderId="1" xfId="0" applyBorder="1" applyAlignment="1">
      <alignment horizontal="center"/>
    </xf>
    <xf numFmtId="0" fontId="0" fillId="0" borderId="25" xfId="0" applyBorder="1" applyAlignment="1">
      <alignment horizontal="center"/>
    </xf>
    <xf numFmtId="0" fontId="0" fillId="0" borderId="40" xfId="0" applyBorder="1" applyAlignment="1">
      <alignment horizontal="center"/>
    </xf>
    <xf numFmtId="0" fontId="0" fillId="19" borderId="23" xfId="0" applyFill="1" applyBorder="1" applyAlignment="1">
      <alignment horizontal="center"/>
    </xf>
    <xf numFmtId="0" fontId="0" fillId="19" borderId="25" xfId="0" applyFill="1" applyBorder="1" applyAlignment="1">
      <alignment horizontal="center" vertical="center"/>
    </xf>
    <xf numFmtId="0" fontId="0" fillId="0" borderId="41" xfId="0" applyBorder="1"/>
    <xf numFmtId="0" fontId="0" fillId="0" borderId="42" xfId="0" applyBorder="1"/>
    <xf numFmtId="0" fontId="0" fillId="5" borderId="3" xfId="0" applyFill="1" applyBorder="1" applyAlignment="1">
      <alignment horizontal="center" vertical="center"/>
    </xf>
    <xf numFmtId="0" fontId="0" fillId="5" borderId="2" xfId="0" applyFill="1" applyBorder="1" applyAlignment="1">
      <alignment horizontal="center" vertical="center"/>
    </xf>
    <xf numFmtId="0" fontId="0" fillId="19" borderId="2" xfId="0" applyFill="1" applyBorder="1" applyAlignment="1">
      <alignment horizontal="center" vertical="center"/>
    </xf>
    <xf numFmtId="0" fontId="0" fillId="0" borderId="2" xfId="0" applyBorder="1" applyAlignment="1">
      <alignment horizontal="center"/>
    </xf>
    <xf numFmtId="0" fontId="0" fillId="5" borderId="19" xfId="0" applyFill="1" applyBorder="1" applyAlignment="1">
      <alignment horizontal="center"/>
    </xf>
    <xf numFmtId="0" fontId="0" fillId="20" borderId="26" xfId="0" applyFill="1" applyBorder="1" applyAlignment="1">
      <alignment horizontal="center"/>
    </xf>
    <xf numFmtId="0" fontId="0" fillId="20" borderId="27" xfId="0" applyFill="1" applyBorder="1" applyAlignment="1">
      <alignment horizontal="center" vertical="center"/>
    </xf>
    <xf numFmtId="16" fontId="0" fillId="0" borderId="0" xfId="0" applyNumberFormat="1"/>
    <xf numFmtId="0" fontId="6" fillId="17" borderId="16" xfId="0" applyFont="1" applyFill="1" applyBorder="1"/>
    <xf numFmtId="0" fontId="6" fillId="17" borderId="17" xfId="0" applyFont="1" applyFill="1" applyBorder="1"/>
    <xf numFmtId="0" fontId="6" fillId="17" borderId="18" xfId="0" applyFont="1" applyFill="1" applyBorder="1"/>
    <xf numFmtId="0" fontId="7" fillId="18" borderId="16" xfId="0" applyFont="1" applyFill="1" applyBorder="1"/>
    <xf numFmtId="0" fontId="7" fillId="18" borderId="17" xfId="0" applyFont="1" applyFill="1" applyBorder="1"/>
    <xf numFmtId="14" fontId="7" fillId="18" borderId="17" xfId="0" applyNumberFormat="1" applyFont="1" applyFill="1" applyBorder="1"/>
    <xf numFmtId="0" fontId="7" fillId="18" borderId="18" xfId="0" applyFont="1" applyFill="1" applyBorder="1"/>
    <xf numFmtId="0" fontId="7" fillId="0" borderId="16" xfId="0" applyFont="1" applyBorder="1"/>
    <xf numFmtId="0" fontId="7" fillId="0" borderId="17" xfId="0" applyFont="1" applyBorder="1"/>
    <xf numFmtId="3" fontId="7" fillId="0" borderId="17" xfId="0" applyNumberFormat="1" applyFont="1" applyBorder="1"/>
    <xf numFmtId="0" fontId="7" fillId="0" borderId="17" xfId="0" applyFont="1" applyBorder="1" applyAlignment="1">
      <alignment wrapText="1"/>
    </xf>
    <xf numFmtId="0" fontId="7" fillId="0" borderId="18" xfId="0" applyFont="1" applyBorder="1"/>
    <xf numFmtId="14" fontId="7" fillId="0" borderId="17" xfId="0" applyNumberFormat="1" applyFont="1" applyBorder="1"/>
    <xf numFmtId="0" fontId="6" fillId="17" borderId="17" xfId="0" applyFont="1" applyFill="1" applyBorder="1" applyAlignment="1">
      <alignment horizontal="left"/>
    </xf>
    <xf numFmtId="0" fontId="7" fillId="18" borderId="17" xfId="0" applyFont="1" applyFill="1" applyBorder="1" applyAlignment="1">
      <alignment horizontal="left"/>
    </xf>
    <xf numFmtId="0" fontId="7" fillId="0" borderId="17" xfId="0" applyFont="1" applyBorder="1" applyAlignment="1">
      <alignment horizontal="left"/>
    </xf>
    <xf numFmtId="22" fontId="7" fillId="0" borderId="17" xfId="0" applyNumberFormat="1" applyFont="1" applyBorder="1" applyAlignment="1">
      <alignment horizontal="left"/>
    </xf>
    <xf numFmtId="22" fontId="7" fillId="18" borderId="17" xfId="0" applyNumberFormat="1" applyFont="1" applyFill="1" applyBorder="1" applyAlignment="1">
      <alignment horizontal="left"/>
    </xf>
    <xf numFmtId="0" fontId="0" fillId="20" borderId="20" xfId="0" applyFill="1" applyBorder="1" applyAlignment="1">
      <alignment horizontal="center"/>
    </xf>
    <xf numFmtId="0" fontId="0" fillId="20" borderId="3" xfId="0" applyFill="1" applyBorder="1" applyAlignment="1">
      <alignment horizontal="center" vertical="center"/>
    </xf>
    <xf numFmtId="0" fontId="2" fillId="12" borderId="52" xfId="0" applyFont="1" applyFill="1" applyBorder="1" applyAlignment="1">
      <alignment horizontal="center" vertical="center"/>
    </xf>
    <xf numFmtId="165" fontId="0" fillId="0" borderId="0" xfId="1" applyNumberFormat="1" applyFont="1" applyAlignment="1">
      <alignment horizontal="right"/>
    </xf>
    <xf numFmtId="0" fontId="0" fillId="0" borderId="0" xfId="0" applyAlignment="1">
      <alignment horizontal="right"/>
    </xf>
    <xf numFmtId="0" fontId="0" fillId="4" borderId="0" xfId="0" applyFill="1"/>
    <xf numFmtId="0" fontId="0" fillId="3" borderId="19" xfId="0" applyFill="1" applyBorder="1" applyAlignment="1">
      <alignment horizontal="center"/>
    </xf>
    <xf numFmtId="0" fontId="0" fillId="3" borderId="2" xfId="0" applyFill="1" applyBorder="1" applyAlignment="1">
      <alignment horizontal="center" vertical="center"/>
    </xf>
    <xf numFmtId="14" fontId="7" fillId="0" borderId="17" xfId="0" applyNumberFormat="1" applyFont="1" applyBorder="1" applyAlignment="1">
      <alignment horizontal="left"/>
    </xf>
    <xf numFmtId="0" fontId="0" fillId="0" borderId="0" xfId="0" applyAlignment="1">
      <alignment vertical="center"/>
    </xf>
    <xf numFmtId="0" fontId="0" fillId="10" borderId="25" xfId="0" applyFill="1" applyBorder="1" applyAlignment="1">
      <alignment horizontal="center"/>
    </xf>
    <xf numFmtId="0" fontId="0" fillId="10" borderId="1" xfId="0" applyFill="1" applyBorder="1" applyAlignment="1">
      <alignment horizontal="center"/>
    </xf>
    <xf numFmtId="0" fontId="0" fillId="10" borderId="2" xfId="0" applyFill="1" applyBorder="1" applyAlignment="1">
      <alignment horizontal="center"/>
    </xf>
    <xf numFmtId="0" fontId="0" fillId="10" borderId="27" xfId="0" applyFill="1" applyBorder="1" applyAlignment="1">
      <alignment horizontal="center"/>
    </xf>
    <xf numFmtId="0" fontId="0" fillId="0" borderId="0" xfId="0" applyAlignment="1">
      <alignment wrapText="1"/>
    </xf>
    <xf numFmtId="0" fontId="0" fillId="0" borderId="0" xfId="0" applyAlignment="1">
      <alignment vertical="center" wrapText="1"/>
    </xf>
    <xf numFmtId="0" fontId="0" fillId="0" borderId="49" xfId="0" applyBorder="1" applyAlignment="1">
      <alignment horizontal="center" vertical="center"/>
    </xf>
    <xf numFmtId="0" fontId="0" fillId="0" borderId="43" xfId="0" applyBorder="1" applyAlignment="1">
      <alignment horizontal="center" vertical="center"/>
    </xf>
    <xf numFmtId="0" fontId="0" fillId="5" borderId="20" xfId="0" applyFill="1" applyBorder="1" applyAlignment="1">
      <alignment horizontal="center"/>
    </xf>
    <xf numFmtId="0" fontId="0" fillId="10" borderId="6" xfId="0" applyFill="1" applyBorder="1" applyAlignment="1">
      <alignment horizontal="center" vertical="center"/>
    </xf>
    <xf numFmtId="0" fontId="0" fillId="10" borderId="46" xfId="0" applyFill="1" applyBorder="1" applyAlignment="1">
      <alignment horizontal="center" vertical="center"/>
    </xf>
    <xf numFmtId="0" fontId="0" fillId="10" borderId="47" xfId="0" applyFill="1" applyBorder="1" applyAlignment="1">
      <alignment horizontal="center" vertical="center"/>
    </xf>
    <xf numFmtId="0" fontId="0" fillId="10" borderId="54" xfId="0" applyFill="1" applyBorder="1" applyAlignment="1">
      <alignment horizontal="center" vertical="center"/>
    </xf>
    <xf numFmtId="0" fontId="0" fillId="10" borderId="57" xfId="0" applyFill="1" applyBorder="1" applyAlignment="1">
      <alignment horizontal="center" vertical="center"/>
    </xf>
    <xf numFmtId="165" fontId="0" fillId="10" borderId="47" xfId="0" applyNumberFormat="1" applyFill="1" applyBorder="1" applyAlignment="1">
      <alignment horizontal="center" vertical="center"/>
    </xf>
    <xf numFmtId="165" fontId="0" fillId="10" borderId="6" xfId="0" applyNumberFormat="1" applyFill="1" applyBorder="1" applyAlignment="1">
      <alignment horizontal="center" vertical="center"/>
    </xf>
    <xf numFmtId="165" fontId="0" fillId="10" borderId="57" xfId="0" applyNumberFormat="1" applyFill="1" applyBorder="1" applyAlignment="1">
      <alignment horizontal="center" vertical="center"/>
    </xf>
    <xf numFmtId="165" fontId="0" fillId="10" borderId="48" xfId="0" applyNumberFormat="1" applyFill="1" applyBorder="1" applyAlignment="1">
      <alignment horizontal="center" vertical="center"/>
    </xf>
    <xf numFmtId="165" fontId="0" fillId="10" borderId="55" xfId="0" applyNumberFormat="1" applyFill="1" applyBorder="1" applyAlignment="1">
      <alignment horizontal="center" vertical="center"/>
    </xf>
    <xf numFmtId="165" fontId="0" fillId="10" borderId="58" xfId="0" applyNumberFormat="1" applyFill="1" applyBorder="1" applyAlignment="1">
      <alignment horizontal="center" vertical="center"/>
    </xf>
    <xf numFmtId="164" fontId="0" fillId="10" borderId="54" xfId="1" applyFont="1" applyFill="1" applyBorder="1" applyAlignment="1">
      <alignment horizontal="center" vertical="center"/>
    </xf>
    <xf numFmtId="164" fontId="0" fillId="10" borderId="6" xfId="1" applyFont="1" applyFill="1" applyBorder="1" applyAlignment="1">
      <alignment horizontal="center" vertical="center"/>
    </xf>
    <xf numFmtId="164" fontId="0" fillId="10" borderId="56" xfId="1" applyFont="1" applyFill="1" applyBorder="1" applyAlignment="1">
      <alignment horizontal="center" vertical="center"/>
    </xf>
    <xf numFmtId="164" fontId="0" fillId="10" borderId="57" xfId="1" applyFont="1" applyFill="1" applyBorder="1" applyAlignment="1">
      <alignment horizontal="center" vertical="center"/>
    </xf>
    <xf numFmtId="165" fontId="0" fillId="0" borderId="0" xfId="0" applyNumberFormat="1" applyAlignment="1">
      <alignment horizontal="center" vertical="center"/>
    </xf>
    <xf numFmtId="0" fontId="5" fillId="0" borderId="0" xfId="0" applyFont="1" applyAlignment="1">
      <alignment wrapText="1"/>
    </xf>
    <xf numFmtId="0" fontId="0" fillId="10" borderId="33" xfId="0" applyFill="1" applyBorder="1" applyAlignment="1">
      <alignment horizontal="center"/>
    </xf>
    <xf numFmtId="0" fontId="0" fillId="0" borderId="27" xfId="0" applyBorder="1" applyAlignment="1">
      <alignment horizontal="center"/>
    </xf>
    <xf numFmtId="0" fontId="0" fillId="0" borderId="33" xfId="0" applyBorder="1" applyAlignment="1">
      <alignment horizontal="center"/>
    </xf>
    <xf numFmtId="165" fontId="0" fillId="0" borderId="25" xfId="0" applyNumberFormat="1" applyBorder="1" applyAlignment="1">
      <alignment horizontal="center"/>
    </xf>
    <xf numFmtId="165" fontId="0" fillId="0" borderId="63" xfId="0" applyNumberFormat="1" applyBorder="1" applyAlignment="1">
      <alignment horizontal="center"/>
    </xf>
    <xf numFmtId="14" fontId="0" fillId="10" borderId="27" xfId="0" applyNumberFormat="1" applyFill="1" applyBorder="1" applyAlignment="1">
      <alignment horizontal="center"/>
    </xf>
    <xf numFmtId="0" fontId="0" fillId="4" borderId="54" xfId="0" applyFill="1" applyBorder="1" applyAlignment="1">
      <alignment horizontal="center" vertical="center"/>
    </xf>
    <xf numFmtId="165" fontId="0" fillId="4" borderId="6" xfId="0" applyNumberFormat="1" applyFill="1" applyBorder="1" applyAlignment="1">
      <alignment horizontal="center" vertical="center"/>
    </xf>
    <xf numFmtId="0" fontId="0" fillId="4" borderId="6" xfId="0" applyFill="1" applyBorder="1" applyAlignment="1">
      <alignment horizontal="center" vertical="center"/>
    </xf>
    <xf numFmtId="165" fontId="0" fillId="4" borderId="55" xfId="0" applyNumberFormat="1" applyFill="1" applyBorder="1" applyAlignment="1">
      <alignment horizontal="center" vertical="center"/>
    </xf>
    <xf numFmtId="0" fontId="8" fillId="21" borderId="0" xfId="0" applyFont="1" applyFill="1" applyAlignment="1">
      <alignment horizontal="center" vertical="center"/>
    </xf>
    <xf numFmtId="0" fontId="8" fillId="21" borderId="0" xfId="0" applyFont="1" applyFill="1" applyAlignment="1">
      <alignment horizontal="center" vertical="center" wrapText="1"/>
    </xf>
    <xf numFmtId="164" fontId="0" fillId="4" borderId="6" xfId="1" applyFont="1" applyFill="1" applyBorder="1" applyAlignment="1">
      <alignment horizontal="center" vertical="center"/>
    </xf>
    <xf numFmtId="165" fontId="0" fillId="4" borderId="25" xfId="0" applyNumberFormat="1" applyFill="1" applyBorder="1" applyAlignment="1">
      <alignment horizontal="center"/>
    </xf>
    <xf numFmtId="14" fontId="0" fillId="4" borderId="27" xfId="0" applyNumberFormat="1" applyFill="1" applyBorder="1" applyAlignment="1">
      <alignment horizontal="center"/>
    </xf>
    <xf numFmtId="0" fontId="0" fillId="0" borderId="0" xfId="0" applyAlignment="1">
      <alignment horizontal="center" wrapText="1"/>
    </xf>
    <xf numFmtId="14" fontId="0" fillId="0" borderId="0" xfId="0" applyNumberFormat="1" applyAlignment="1">
      <alignment horizontal="center"/>
    </xf>
    <xf numFmtId="0" fontId="0" fillId="16" borderId="25" xfId="0" applyFill="1" applyBorder="1" applyAlignment="1">
      <alignment horizontal="center"/>
    </xf>
    <xf numFmtId="0" fontId="0" fillId="16" borderId="1" xfId="0" applyFill="1" applyBorder="1" applyAlignment="1">
      <alignment horizontal="center"/>
    </xf>
    <xf numFmtId="0" fontId="0" fillId="16" borderId="2" xfId="0" applyFill="1" applyBorder="1" applyAlignment="1">
      <alignment horizontal="center"/>
    </xf>
    <xf numFmtId="0" fontId="0" fillId="0" borderId="63" xfId="0" applyBorder="1" applyAlignment="1">
      <alignment horizontal="center"/>
    </xf>
    <xf numFmtId="0" fontId="0" fillId="0" borderId="32" xfId="0" applyBorder="1" applyAlignment="1">
      <alignment horizontal="center"/>
    </xf>
    <xf numFmtId="0" fontId="0" fillId="10" borderId="63" xfId="0" applyFill="1" applyBorder="1" applyAlignment="1">
      <alignment horizontal="center"/>
    </xf>
    <xf numFmtId="0" fontId="0" fillId="10" borderId="32" xfId="0" applyFill="1" applyBorder="1" applyAlignment="1">
      <alignment horizontal="center"/>
    </xf>
    <xf numFmtId="0" fontId="0" fillId="19" borderId="19" xfId="0" applyFill="1" applyBorder="1" applyAlignment="1">
      <alignment horizontal="center"/>
    </xf>
    <xf numFmtId="0" fontId="0" fillId="0" borderId="35" xfId="0" applyBorder="1" applyAlignment="1">
      <alignment horizontal="center"/>
    </xf>
    <xf numFmtId="0" fontId="0" fillId="10" borderId="35" xfId="0" applyFill="1" applyBorder="1" applyAlignment="1">
      <alignment horizontal="center"/>
    </xf>
    <xf numFmtId="0" fontId="0" fillId="0" borderId="11" xfId="0" applyBorder="1" applyAlignment="1">
      <alignment horizontal="center"/>
    </xf>
    <xf numFmtId="164" fontId="0" fillId="0" borderId="0" xfId="0" applyNumberFormat="1" applyAlignment="1">
      <alignment horizontal="center"/>
    </xf>
    <xf numFmtId="0" fontId="0" fillId="0" borderId="0" xfId="0" applyAlignment="1">
      <alignment horizontal="center"/>
    </xf>
    <xf numFmtId="0" fontId="0" fillId="0" borderId="11" xfId="0" applyBorder="1" applyAlignment="1">
      <alignment horizontal="center" vertical="center"/>
    </xf>
    <xf numFmtId="0" fontId="0" fillId="0" borderId="21" xfId="0" applyBorder="1" applyAlignment="1">
      <alignment horizontal="center"/>
    </xf>
    <xf numFmtId="0" fontId="0" fillId="0" borderId="0" xfId="0" applyAlignment="1">
      <alignment horizontal="left"/>
    </xf>
    <xf numFmtId="0" fontId="5" fillId="0" borderId="0" xfId="0" applyFont="1" applyAlignment="1">
      <alignment horizontal="center"/>
    </xf>
    <xf numFmtId="0" fontId="0" fillId="0" borderId="0" xfId="0" applyAlignment="1">
      <alignment horizontal="center" vertical="center"/>
    </xf>
    <xf numFmtId="0" fontId="0" fillId="19" borderId="46" xfId="0" applyFill="1" applyBorder="1" applyAlignment="1">
      <alignment horizontal="center"/>
    </xf>
    <xf numFmtId="0" fontId="0" fillId="19" borderId="47" xfId="0" applyFill="1" applyBorder="1" applyAlignment="1">
      <alignment horizontal="center"/>
    </xf>
    <xf numFmtId="0" fontId="0" fillId="19" borderId="48" xfId="0" applyFill="1" applyBorder="1" applyAlignment="1">
      <alignment horizontal="center"/>
    </xf>
    <xf numFmtId="0" fontId="0" fillId="5" borderId="60" xfId="0" applyFill="1" applyBorder="1" applyAlignment="1">
      <alignment horizontal="center"/>
    </xf>
    <xf numFmtId="0" fontId="0" fillId="5" borderId="47" xfId="0" applyFill="1" applyBorder="1" applyAlignment="1">
      <alignment horizontal="center"/>
    </xf>
    <xf numFmtId="0" fontId="0" fillId="5" borderId="51" xfId="0" applyFill="1" applyBorder="1" applyAlignment="1">
      <alignment horizontal="center"/>
    </xf>
    <xf numFmtId="0" fontId="0" fillId="3" borderId="46" xfId="0" applyFill="1" applyBorder="1" applyAlignment="1">
      <alignment horizontal="center"/>
    </xf>
    <xf numFmtId="0" fontId="0" fillId="3" borderId="47" xfId="0" applyFill="1" applyBorder="1" applyAlignment="1">
      <alignment horizontal="center"/>
    </xf>
    <xf numFmtId="0" fontId="0" fillId="3" borderId="48" xfId="0" applyFill="1" applyBorder="1" applyAlignment="1">
      <alignment horizontal="center"/>
    </xf>
    <xf numFmtId="0" fontId="0" fillId="20" borderId="60" xfId="0" applyFill="1" applyBorder="1" applyAlignment="1">
      <alignment horizontal="center"/>
    </xf>
    <xf numFmtId="0" fontId="0" fillId="20" borderId="47" xfId="0" applyFill="1" applyBorder="1" applyAlignment="1">
      <alignment horizontal="center"/>
    </xf>
    <xf numFmtId="0" fontId="0" fillId="20" borderId="48" xfId="0" applyFill="1" applyBorder="1" applyAlignment="1">
      <alignment horizontal="center"/>
    </xf>
    <xf numFmtId="0" fontId="0" fillId="19" borderId="22" xfId="0" applyFill="1" applyBorder="1" applyAlignment="1">
      <alignment horizontal="center" vertical="center"/>
    </xf>
    <xf numFmtId="0" fontId="0" fillId="19" borderId="7" xfId="0" applyFill="1" applyBorder="1" applyAlignment="1">
      <alignment horizontal="center" vertical="center"/>
    </xf>
    <xf numFmtId="0" fontId="0" fillId="19" borderId="24" xfId="0" applyFill="1" applyBorder="1" applyAlignment="1">
      <alignment horizontal="center" vertical="center"/>
    </xf>
    <xf numFmtId="0" fontId="0" fillId="19" borderId="26" xfId="0" applyFill="1" applyBorder="1" applyAlignment="1">
      <alignment horizontal="center" vertical="center"/>
    </xf>
    <xf numFmtId="0" fontId="0" fillId="5" borderId="22" xfId="0" applyFill="1" applyBorder="1" applyAlignment="1">
      <alignment horizontal="center" vertical="center"/>
    </xf>
    <xf numFmtId="0" fontId="0" fillId="5" borderId="7" xfId="0" applyFill="1" applyBorder="1" applyAlignment="1">
      <alignment horizontal="center" vertical="center"/>
    </xf>
    <xf numFmtId="0" fontId="0" fillId="5" borderId="34" xfId="0" applyFill="1" applyBorder="1" applyAlignment="1">
      <alignment horizontal="center" vertical="center"/>
    </xf>
    <xf numFmtId="0" fontId="0" fillId="5" borderId="19" xfId="0" applyFill="1" applyBorder="1" applyAlignment="1">
      <alignment horizontal="center" vertical="center"/>
    </xf>
    <xf numFmtId="0" fontId="0" fillId="3" borderId="22" xfId="0" applyFill="1" applyBorder="1" applyAlignment="1">
      <alignment horizontal="center" vertical="center"/>
    </xf>
    <xf numFmtId="0" fontId="0" fillId="3" borderId="7" xfId="0" applyFill="1" applyBorder="1" applyAlignment="1">
      <alignment horizontal="center" vertical="center"/>
    </xf>
    <xf numFmtId="0" fontId="0" fillId="3" borderId="24" xfId="0" applyFill="1" applyBorder="1" applyAlignment="1">
      <alignment horizontal="center" vertical="center"/>
    </xf>
    <xf numFmtId="0" fontId="0" fillId="3" borderId="26" xfId="0" applyFill="1" applyBorder="1" applyAlignment="1">
      <alignment horizontal="center" vertical="center"/>
    </xf>
    <xf numFmtId="0" fontId="0" fillId="20" borderId="22" xfId="0" applyFill="1" applyBorder="1" applyAlignment="1">
      <alignment horizontal="center" vertical="center"/>
    </xf>
    <xf numFmtId="0" fontId="0" fillId="20" borderId="7" xfId="0" applyFill="1" applyBorder="1" applyAlignment="1">
      <alignment horizontal="center" vertical="center"/>
    </xf>
    <xf numFmtId="0" fontId="0" fillId="20" borderId="24" xfId="0" applyFill="1" applyBorder="1" applyAlignment="1">
      <alignment horizontal="center" vertical="center"/>
    </xf>
    <xf numFmtId="0" fontId="0" fillId="20" borderId="26" xfId="0" applyFill="1" applyBorder="1" applyAlignment="1">
      <alignment horizontal="center" vertical="center"/>
    </xf>
    <xf numFmtId="0" fontId="0" fillId="0" borderId="28"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4" fillId="2" borderId="49" xfId="0" applyFont="1" applyFill="1" applyBorder="1" applyAlignment="1">
      <alignment horizontal="center"/>
    </xf>
    <xf numFmtId="0" fontId="4" fillId="2" borderId="50" xfId="0" applyFont="1" applyFill="1" applyBorder="1" applyAlignment="1">
      <alignment horizontal="center"/>
    </xf>
    <xf numFmtId="0" fontId="4" fillId="2" borderId="53" xfId="0" applyFont="1" applyFill="1" applyBorder="1" applyAlignment="1">
      <alignment horizontal="center"/>
    </xf>
    <xf numFmtId="0" fontId="0" fillId="0" borderId="39" xfId="0" applyBorder="1" applyAlignment="1">
      <alignment horizontal="center" vertical="center"/>
    </xf>
    <xf numFmtId="0" fontId="0" fillId="0" borderId="41" xfId="0" applyBorder="1" applyAlignment="1">
      <alignment horizontal="center" vertical="center"/>
    </xf>
    <xf numFmtId="0" fontId="0" fillId="0" borderId="25" xfId="0" applyBorder="1" applyAlignment="1">
      <alignment horizontal="center"/>
    </xf>
    <xf numFmtId="0" fontId="0" fillId="0" borderId="1" xfId="0" applyBorder="1" applyAlignment="1">
      <alignment horizontal="center"/>
    </xf>
    <xf numFmtId="0" fontId="0" fillId="0" borderId="40" xfId="0" applyBorder="1" applyAlignment="1">
      <alignment horizontal="center" vertical="center"/>
    </xf>
    <xf numFmtId="165" fontId="0" fillId="0" borderId="47" xfId="0" applyNumberFormat="1" applyBorder="1" applyAlignment="1">
      <alignment horizontal="center" vertical="center"/>
    </xf>
    <xf numFmtId="165" fontId="0" fillId="0" borderId="13" xfId="0" applyNumberFormat="1" applyBorder="1" applyAlignment="1">
      <alignment horizontal="center" vertical="center"/>
    </xf>
    <xf numFmtId="165" fontId="0" fillId="0" borderId="48" xfId="0" applyNumberFormat="1" applyBorder="1" applyAlignment="1">
      <alignment horizontal="center" vertical="center"/>
    </xf>
    <xf numFmtId="165" fontId="0" fillId="0" borderId="62" xfId="0" applyNumberFormat="1" applyBorder="1" applyAlignment="1">
      <alignment horizontal="center" vertical="center"/>
    </xf>
    <xf numFmtId="0" fontId="0" fillId="0" borderId="47" xfId="0"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3" xfId="0" applyBorder="1" applyAlignment="1">
      <alignment horizontal="center" vertical="center"/>
    </xf>
    <xf numFmtId="0" fontId="0" fillId="0" borderId="59" xfId="0" applyBorder="1" applyAlignment="1">
      <alignment horizontal="center" vertical="center"/>
    </xf>
    <xf numFmtId="0" fontId="0" fillId="0" borderId="46" xfId="0" applyBorder="1" applyAlignment="1">
      <alignment horizontal="center" vertical="center" wrapText="1"/>
    </xf>
    <xf numFmtId="0" fontId="0" fillId="0" borderId="61" xfId="0" applyBorder="1" applyAlignment="1">
      <alignment horizontal="center" vertical="center" wrapText="1"/>
    </xf>
    <xf numFmtId="0" fontId="0" fillId="0" borderId="47" xfId="0" applyBorder="1" applyAlignment="1">
      <alignment horizontal="center" vertical="center"/>
    </xf>
    <xf numFmtId="0" fontId="0" fillId="3" borderId="34" xfId="0" applyFill="1" applyBorder="1" applyAlignment="1">
      <alignment horizontal="center" vertical="center"/>
    </xf>
    <xf numFmtId="0" fontId="0" fillId="3" borderId="19" xfId="0" applyFill="1" applyBorder="1" applyAlignment="1">
      <alignment horizontal="center" vertical="center"/>
    </xf>
    <xf numFmtId="0" fontId="0" fillId="20" borderId="34" xfId="0" applyFill="1" applyBorder="1" applyAlignment="1">
      <alignment horizontal="center" vertical="center"/>
    </xf>
    <xf numFmtId="0" fontId="0" fillId="20" borderId="19" xfId="0" applyFill="1" applyBorder="1" applyAlignment="1">
      <alignment horizontal="center" vertical="center"/>
    </xf>
    <xf numFmtId="0" fontId="0" fillId="19" borderId="51" xfId="0" applyFill="1" applyBorder="1" applyAlignment="1">
      <alignment horizontal="center"/>
    </xf>
    <xf numFmtId="0" fontId="0" fillId="5" borderId="46" xfId="0" applyFill="1" applyBorder="1" applyAlignment="1">
      <alignment horizontal="center"/>
    </xf>
    <xf numFmtId="0" fontId="0" fillId="3" borderId="51" xfId="0" applyFill="1" applyBorder="1" applyAlignment="1">
      <alignment horizontal="center"/>
    </xf>
    <xf numFmtId="0" fontId="0" fillId="20" borderId="46" xfId="0" applyFill="1" applyBorder="1" applyAlignment="1">
      <alignment horizontal="center"/>
    </xf>
    <xf numFmtId="0" fontId="0" fillId="19" borderId="34" xfId="0" applyFill="1" applyBorder="1" applyAlignment="1">
      <alignment horizontal="center" vertical="center"/>
    </xf>
    <xf numFmtId="0" fontId="0" fillId="19" borderId="19" xfId="0" applyFill="1" applyBorder="1" applyAlignment="1">
      <alignment horizontal="center" vertical="center"/>
    </xf>
    <xf numFmtId="0" fontId="2" fillId="7" borderId="2" xfId="0" applyFont="1" applyFill="1" applyBorder="1" applyAlignment="1">
      <alignment horizontal="center"/>
    </xf>
    <xf numFmtId="0" fontId="2" fillId="7" borderId="4" xfId="0" applyFont="1" applyFill="1" applyBorder="1" applyAlignment="1">
      <alignment horizontal="center"/>
    </xf>
    <xf numFmtId="0" fontId="2" fillId="8" borderId="8" xfId="0" applyFont="1" applyFill="1" applyBorder="1" applyAlignment="1">
      <alignment horizontal="center" vertical="center"/>
    </xf>
    <xf numFmtId="0" fontId="2" fillId="8" borderId="9"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3" fillId="10" borderId="0" xfId="0" applyFont="1" applyFill="1" applyAlignment="1">
      <alignment horizontal="center"/>
    </xf>
    <xf numFmtId="0" fontId="2" fillId="11" borderId="1" xfId="0" applyFont="1" applyFill="1" applyBorder="1" applyAlignment="1">
      <alignment horizontal="center"/>
    </xf>
    <xf numFmtId="0" fontId="2" fillId="2" borderId="1" xfId="0" applyFont="1" applyFill="1" applyBorder="1" applyAlignment="1">
      <alignment horizont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4" borderId="1" xfId="0" applyFont="1" applyFill="1" applyBorder="1" applyAlignment="1">
      <alignment horizontal="center"/>
    </xf>
    <xf numFmtId="0" fontId="2" fillId="4" borderId="7" xfId="0" applyFont="1" applyFill="1" applyBorder="1" applyAlignment="1">
      <alignment horizontal="center"/>
    </xf>
    <xf numFmtId="0" fontId="2" fillId="12" borderId="6" xfId="0" applyFont="1" applyFill="1" applyBorder="1" applyAlignment="1">
      <alignment horizontal="center" vertical="center"/>
    </xf>
    <xf numFmtId="0" fontId="2" fillId="10" borderId="0" xfId="0" applyFont="1" applyFill="1" applyAlignment="1">
      <alignment horizontal="center" vertical="center"/>
    </xf>
    <xf numFmtId="0" fontId="2" fillId="13" borderId="6" xfId="0" applyFont="1" applyFill="1" applyBorder="1" applyAlignment="1">
      <alignment horizontal="center"/>
    </xf>
    <xf numFmtId="0" fontId="2" fillId="14" borderId="6" xfId="0" applyFont="1" applyFill="1" applyBorder="1" applyAlignment="1">
      <alignment horizontal="center" vertical="center"/>
    </xf>
    <xf numFmtId="0" fontId="2" fillId="12" borderId="13" xfId="0" applyFont="1" applyFill="1" applyBorder="1" applyAlignment="1">
      <alignment horizontal="center" vertical="center"/>
    </xf>
    <xf numFmtId="0" fontId="2" fillId="15" borderId="6" xfId="0" applyFont="1" applyFill="1" applyBorder="1" applyAlignment="1">
      <alignment horizontal="center"/>
    </xf>
    <xf numFmtId="0" fontId="0" fillId="16" borderId="0" xfId="0" applyFill="1" applyAlignment="1">
      <alignment horizontal="left" wrapText="1"/>
    </xf>
    <xf numFmtId="0" fontId="0" fillId="2" borderId="0" xfId="0" applyFill="1" applyAlignment="1">
      <alignment horizontal="left"/>
    </xf>
    <xf numFmtId="0" fontId="0" fillId="4" borderId="0" xfId="0" applyFill="1" applyAlignment="1">
      <alignment horizontal="left"/>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19" borderId="38" xfId="0" applyFill="1" applyBorder="1" applyAlignment="1">
      <alignment horizontal="center"/>
    </xf>
    <xf numFmtId="0" fontId="0" fillId="19" borderId="65" xfId="0" applyFill="1" applyBorder="1" applyAlignment="1">
      <alignment horizontal="center"/>
    </xf>
    <xf numFmtId="0" fontId="0" fillId="5" borderId="12" xfId="0" applyFill="1" applyBorder="1" applyAlignment="1">
      <alignment horizontal="center"/>
    </xf>
    <xf numFmtId="0" fontId="0" fillId="5" borderId="65" xfId="0" applyFill="1" applyBorder="1" applyAlignment="1">
      <alignment horizontal="center"/>
    </xf>
    <xf numFmtId="0" fontId="4" fillId="2" borderId="36" xfId="0" applyFont="1" applyFill="1" applyBorder="1" applyAlignment="1">
      <alignment horizontal="center"/>
    </xf>
    <xf numFmtId="0" fontId="4" fillId="2" borderId="37" xfId="0" applyFont="1" applyFill="1" applyBorder="1" applyAlignment="1">
      <alignment horizontal="center"/>
    </xf>
    <xf numFmtId="0" fontId="4" fillId="2" borderId="64" xfId="0" applyFont="1" applyFill="1" applyBorder="1" applyAlignment="1">
      <alignment horizontal="center"/>
    </xf>
    <xf numFmtId="0" fontId="0" fillId="10" borderId="0" xfId="0" applyFill="1" applyAlignment="1">
      <alignment horizontal="center" vertical="center" wrapText="1"/>
    </xf>
    <xf numFmtId="0" fontId="0" fillId="10" borderId="0" xfId="0" applyFill="1" applyAlignment="1">
      <alignment horizontal="center" wrapText="1"/>
    </xf>
  </cellXfs>
  <cellStyles count="2">
    <cellStyle name="Moneda" xfId="1" builtinId="4"/>
    <cellStyle name="Normal" xfId="0" builtinId="0"/>
  </cellStyles>
  <dxfs count="14">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s>
  <tableStyles count="0" defaultTableStyle="TableStyleMedium2" defaultPivotStyle="PivotStyleLight16"/>
  <colors>
    <mruColors>
      <color rgb="FF20F1F5"/>
      <color rgb="FFA4F3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1" Type="http://schemas.microsoft.com/office/2011/relationships/webextension" Target="../webextensions/webextension2.xml"/></Relationships>
</file>

<file path=xl/drawings/drawing1.xml><?xml version="1.0" encoding="utf-8"?>
<xdr:wsDr xmlns:xdr="http://schemas.openxmlformats.org/drawingml/2006/spreadsheetDrawing" xmlns:a="http://schemas.openxmlformats.org/drawingml/2006/main">
  <xdr:twoCellAnchor>
    <xdr:from>
      <xdr:col>5</xdr:col>
      <xdr:colOff>400050</xdr:colOff>
      <xdr:row>24</xdr:row>
      <xdr:rowOff>95250</xdr:rowOff>
    </xdr:from>
    <xdr:to>
      <xdr:col>8</xdr:col>
      <xdr:colOff>342900</xdr:colOff>
      <xdr:row>35</xdr:row>
      <xdr:rowOff>95250</xdr:rowOff>
    </xdr:to>
    <mc:AlternateContent xmlns:mc="http://schemas.openxmlformats.org/markup-compatibility/2006">
      <mc:Choice xmlns:we="http://schemas.microsoft.com/office/webextensions/webextension/2010/11" Requires="we">
        <xdr:graphicFrame macro="">
          <xdr:nvGraphicFramePr>
            <xdr:cNvPr id="3" name="App1">
              <a:extLst>
                <a:ext uri="{FF2B5EF4-FFF2-40B4-BE49-F238E27FC236}">
                  <a16:creationId xmlns:a16="http://schemas.microsoft.com/office/drawing/2014/main" id="{D65765AB-A29C-FC43-E098-E47C6E188355}"/>
                </a:ext>
              </a:extLst>
            </xdr:cNvPr>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sp macro="" textlink="">
          <xdr:nvSpPr>
            <xdr:cNvPr id="0" name=""/>
            <xdr:cNvSpPr>
              <a:spLocks noTextEdit="1"/>
            </xdr:cNvSpPr>
          </xdr:nvSpPr>
          <xdr:spPr>
            <a:xfrm>
              <a:off x="4429125" y="4714875"/>
              <a:ext cx="2286000" cy="2095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133350</xdr:colOff>
      <xdr:row>11</xdr:row>
      <xdr:rowOff>57150</xdr:rowOff>
    </xdr:from>
    <xdr:to>
      <xdr:col>10</xdr:col>
      <xdr:colOff>590550</xdr:colOff>
      <xdr:row>22</xdr:row>
      <xdr:rowOff>57150</xdr:rowOff>
    </xdr:to>
    <mc:AlternateContent xmlns:mc="http://schemas.openxmlformats.org/markup-compatibility/2006">
      <mc:Choice xmlns:we="http://schemas.microsoft.com/office/webextensions/webextension/2010/11" Requires="we">
        <xdr:graphicFrame macro="">
          <xdr:nvGraphicFramePr>
            <xdr:cNvPr id="2" name="App1">
              <a:extLst>
                <a:ext uri="{FF2B5EF4-FFF2-40B4-BE49-F238E27FC236}">
                  <a16:creationId xmlns:a16="http://schemas.microsoft.com/office/drawing/2014/main" id="{3F3906F7-32BE-67EB-28C7-B6C95E1ED3C9}"/>
                </a:ext>
              </a:extLst>
            </xdr:cNvPr>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sp macro="" textlink="">
          <xdr:nvSpPr>
            <xdr:cNvPr id="0" name=""/>
            <xdr:cNvSpPr>
              <a:spLocks noTextEdit="1"/>
            </xdr:cNvSpPr>
          </xdr:nvSpPr>
          <xdr:spPr>
            <a:xfrm>
              <a:off x="6943725" y="2200275"/>
              <a:ext cx="2286000" cy="2095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webextension1.xml><?xml version="1.0" encoding="utf-8"?>
<we:webextension xmlns:we="http://schemas.microsoft.com/office/webextensions/webextension/2010/11" id="{D65765AB-A29C-FC43-E098-E47C6E188355}">
  <we:reference id="WA102957665" version="1.3.0.0" store="en-US" storeType="omex"/>
  <we:alternateReferences>
    <we:reference id="WA102957665" version="1.3.0.0" store="omex"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3F3906F7-32BE-67EB-28C7-B6C95E1ED3C9}">
  <we:reference id="WA102957665" version="1.3.0.0" store="en-US" storeType="omex"/>
  <we:alternateReferences>
    <we:reference id="WA102957665" version="1.3.0.0" store="omex"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4E4B-B476-4FFF-B794-743455AA307C}">
  <dimension ref="B3:Y32"/>
  <sheetViews>
    <sheetView tabSelected="1" topLeftCell="F1" workbookViewId="0">
      <selection activeCell="T5" sqref="T5"/>
    </sheetView>
  </sheetViews>
  <sheetFormatPr defaultColWidth="11.7109375" defaultRowHeight="15"/>
  <cols>
    <col min="1" max="1" width="4.42578125" customWidth="1"/>
    <col min="5" max="5" width="5.5703125" customWidth="1"/>
    <col min="9" max="9" width="5.5703125" customWidth="1"/>
    <col min="13" max="13" width="5.140625" customWidth="1"/>
    <col min="14" max="14" width="19.140625" customWidth="1"/>
    <col min="17" max="17" width="5.85546875" customWidth="1"/>
  </cols>
  <sheetData>
    <row r="3" spans="2:21">
      <c r="B3" s="168" t="s">
        <v>0</v>
      </c>
      <c r="C3" s="168"/>
      <c r="D3" s="168"/>
      <c r="F3" s="168" t="s">
        <v>1</v>
      </c>
      <c r="G3" s="168"/>
      <c r="H3" s="168"/>
      <c r="J3" s="168" t="s">
        <v>2</v>
      </c>
      <c r="K3" s="168"/>
      <c r="L3" s="168"/>
      <c r="N3" s="168" t="s">
        <v>3</v>
      </c>
      <c r="O3" s="168"/>
      <c r="P3" s="168"/>
      <c r="R3" s="165" t="s">
        <v>4</v>
      </c>
      <c r="S3" s="165"/>
      <c r="T3" s="165"/>
    </row>
    <row r="4" spans="2:21" ht="16.5" customHeight="1">
      <c r="B4" s="1"/>
      <c r="C4" s="1" t="s">
        <v>5</v>
      </c>
      <c r="D4" s="1" t="s">
        <v>6</v>
      </c>
      <c r="F4" s="167" t="s">
        <v>7</v>
      </c>
      <c r="G4" s="167"/>
      <c r="H4" s="2">
        <v>1590</v>
      </c>
      <c r="J4" s="169" t="s">
        <v>8</v>
      </c>
      <c r="K4" s="169"/>
      <c r="L4" s="19">
        <f>PAGOS!G38+PAGOS!L38+PAGOS!Q38+PAGOS!V38</f>
        <v>1600</v>
      </c>
      <c r="N4" s="153" t="s">
        <v>9</v>
      </c>
      <c r="O4" s="2">
        <v>1000</v>
      </c>
      <c r="P4" s="38">
        <v>45751</v>
      </c>
      <c r="R4" s="167" t="s">
        <v>10</v>
      </c>
      <c r="S4" s="167"/>
      <c r="T4" s="2">
        <v>0</v>
      </c>
      <c r="U4" s="38"/>
    </row>
    <row r="5" spans="2:21">
      <c r="B5" s="48" t="s">
        <v>11</v>
      </c>
      <c r="C5" s="16">
        <v>5617</v>
      </c>
      <c r="D5" s="105">
        <v>5617</v>
      </c>
      <c r="F5" s="167" t="s">
        <v>12</v>
      </c>
      <c r="G5" s="167"/>
      <c r="H5" s="2">
        <f>ATRASOS!E40</f>
        <v>3570</v>
      </c>
      <c r="J5" s="167" t="s">
        <v>13</v>
      </c>
      <c r="K5" s="167"/>
      <c r="L5" s="19">
        <f>PAGOS!G39+PAGOS!L39+PAGOS!Q39+PAGOS!V39</f>
        <v>1500</v>
      </c>
      <c r="N5" s="1"/>
      <c r="O5" s="49"/>
      <c r="P5" s="19"/>
      <c r="R5" s="167" t="s">
        <v>14</v>
      </c>
      <c r="S5" s="167"/>
      <c r="T5" s="2">
        <v>0</v>
      </c>
      <c r="U5" s="38">
        <v>45748</v>
      </c>
    </row>
    <row r="6" spans="2:21">
      <c r="B6" s="48" t="s">
        <v>15</v>
      </c>
      <c r="C6" s="16">
        <v>4545</v>
      </c>
      <c r="D6" s="16">
        <v>4545</v>
      </c>
      <c r="F6" s="167" t="s">
        <v>16</v>
      </c>
      <c r="G6" s="167"/>
      <c r="H6" s="2">
        <f>PAGOS!G37+PAGOS!L37+PAGOS!Q37+PAGOS!V37</f>
        <v>2535</v>
      </c>
      <c r="J6" s="1"/>
      <c r="K6" s="1"/>
      <c r="L6" s="2"/>
      <c r="N6" s="1"/>
      <c r="O6" s="49"/>
      <c r="P6" s="19"/>
      <c r="R6" s="167" t="s">
        <v>17</v>
      </c>
      <c r="S6" s="167"/>
      <c r="T6" s="2">
        <f>SUM(T4:T5)</f>
        <v>0</v>
      </c>
    </row>
    <row r="7" spans="2:21">
      <c r="B7" s="48" t="s">
        <v>18</v>
      </c>
      <c r="C7" s="16">
        <v>3500</v>
      </c>
      <c r="D7" s="16">
        <v>3500</v>
      </c>
      <c r="F7" s="167" t="s">
        <v>13</v>
      </c>
      <c r="G7" s="167"/>
      <c r="H7" s="2">
        <f>PAGOS!H37+PAGOS!M37+PAGOS!R37+PAGOS!W37</f>
        <v>2240</v>
      </c>
      <c r="M7" s="2"/>
      <c r="N7" s="1"/>
      <c r="O7" s="49"/>
      <c r="P7" s="19"/>
    </row>
    <row r="8" spans="2:21">
      <c r="B8" s="48"/>
      <c r="C8" s="16">
        <v>0</v>
      </c>
      <c r="D8" s="16">
        <v>0</v>
      </c>
      <c r="M8" s="2"/>
      <c r="N8" s="1"/>
      <c r="O8" s="49"/>
      <c r="P8" s="19"/>
      <c r="T8" s="20"/>
    </row>
    <row r="9" spans="2:21">
      <c r="B9" s="48"/>
      <c r="C9" s="16">
        <v>0</v>
      </c>
      <c r="D9" s="16">
        <v>0</v>
      </c>
      <c r="N9" s="1"/>
      <c r="O9" s="49"/>
      <c r="P9" s="19"/>
      <c r="T9" s="20"/>
    </row>
    <row r="10" spans="2:21">
      <c r="B10" s="48"/>
      <c r="C10" s="16">
        <v>0</v>
      </c>
      <c r="D10" s="16">
        <v>0</v>
      </c>
      <c r="N10" s="1"/>
      <c r="O10" s="49"/>
      <c r="P10" s="19"/>
      <c r="T10" s="20"/>
    </row>
    <row r="11" spans="2:21">
      <c r="B11" s="48"/>
      <c r="C11" s="16">
        <v>0</v>
      </c>
      <c r="D11" s="16">
        <v>0</v>
      </c>
      <c r="N11" s="1"/>
      <c r="O11" s="49"/>
      <c r="P11" s="19"/>
    </row>
    <row r="12" spans="2:21">
      <c r="F12" s="172" t="s">
        <v>17</v>
      </c>
      <c r="G12" s="172"/>
      <c r="H12" s="2">
        <f>SUM(H4:H10)</f>
        <v>9935</v>
      </c>
      <c r="J12" s="172" t="s">
        <v>17</v>
      </c>
      <c r="K12" s="172"/>
      <c r="L12" s="37">
        <f>SUM(L4:L7)</f>
        <v>3100</v>
      </c>
      <c r="N12" s="111" t="s">
        <v>17</v>
      </c>
      <c r="O12" s="41">
        <f>SUM(O4:O11)</f>
        <v>1000</v>
      </c>
      <c r="P12" s="19"/>
    </row>
    <row r="13" spans="2:21">
      <c r="C13" s="2">
        <f>SUM(C5:C12)</f>
        <v>13662</v>
      </c>
      <c r="D13" s="2">
        <f>SUM(D5:D12)</f>
        <v>13662</v>
      </c>
      <c r="R13" s="106"/>
    </row>
    <row r="14" spans="2:21">
      <c r="B14" s="47" t="s">
        <v>17</v>
      </c>
      <c r="C14" s="41">
        <f>C13+D13</f>
        <v>27324</v>
      </c>
      <c r="D14" s="41"/>
    </row>
    <row r="16" spans="2:21">
      <c r="D16" s="166"/>
      <c r="E16" s="167"/>
    </row>
    <row r="19" spans="2:25">
      <c r="B19" s="165" t="s">
        <v>19</v>
      </c>
      <c r="C19" s="165"/>
      <c r="D19" s="165"/>
      <c r="E19" s="165"/>
      <c r="H19" s="19"/>
      <c r="J19" s="171" t="s">
        <v>20</v>
      </c>
      <c r="K19" s="171"/>
      <c r="L19" s="171"/>
      <c r="N19" s="2">
        <f>F23</f>
        <v>5835</v>
      </c>
      <c r="P19" s="18"/>
    </row>
    <row r="20" spans="2:25">
      <c r="B20" s="167" t="s">
        <v>21</v>
      </c>
      <c r="C20" s="167"/>
      <c r="D20" s="167"/>
      <c r="E20" s="167"/>
      <c r="F20" s="43">
        <f>H12</f>
        <v>9935</v>
      </c>
      <c r="G20" s="40"/>
      <c r="H20" s="2"/>
      <c r="J20" s="171" t="s">
        <v>22</v>
      </c>
      <c r="K20" s="171"/>
      <c r="L20" s="171"/>
      <c r="N20" s="18">
        <f>N19/2</f>
        <v>2917.5</v>
      </c>
      <c r="X20" s="2"/>
      <c r="Y20" s="2"/>
    </row>
    <row r="21" spans="2:25">
      <c r="B21" s="167" t="s">
        <v>23</v>
      </c>
      <c r="C21" s="167"/>
      <c r="D21" s="167"/>
      <c r="E21" s="167"/>
      <c r="F21" s="44">
        <f>L12+O12</f>
        <v>4100</v>
      </c>
      <c r="G21" s="40"/>
      <c r="T21" s="46"/>
      <c r="U21" s="46"/>
      <c r="V21" s="46"/>
      <c r="W21" s="46"/>
      <c r="X21" s="2"/>
      <c r="Y21" s="2"/>
    </row>
    <row r="22" spans="2:25">
      <c r="F22" s="43"/>
      <c r="G22" s="40"/>
      <c r="T22" s="170"/>
      <c r="U22" s="170"/>
      <c r="V22" s="170"/>
      <c r="W22" s="170"/>
      <c r="X22" s="2"/>
      <c r="Y22" s="2"/>
    </row>
    <row r="23" spans="2:25">
      <c r="F23" s="44">
        <f>F20-F21</f>
        <v>5835</v>
      </c>
      <c r="G23" s="2"/>
      <c r="X23" s="166"/>
      <c r="Y23" s="166"/>
    </row>
    <row r="24" spans="2:25">
      <c r="G24" s="2"/>
      <c r="X24" s="18"/>
    </row>
    <row r="25" spans="2:25">
      <c r="B25" s="170"/>
      <c r="C25" s="170"/>
      <c r="F25" s="44"/>
      <c r="G25" s="2"/>
    </row>
    <row r="26" spans="2:25">
      <c r="F26" s="44"/>
      <c r="G26" s="2"/>
      <c r="J26" s="106"/>
    </row>
    <row r="27" spans="2:25">
      <c r="F27" s="44"/>
    </row>
    <row r="28" spans="2:25">
      <c r="F28" s="44"/>
      <c r="G28" s="2"/>
    </row>
    <row r="29" spans="2:25">
      <c r="F29" s="45"/>
      <c r="G29" s="19"/>
    </row>
    <row r="30" spans="2:25">
      <c r="F30" s="45"/>
    </row>
    <row r="32" spans="2:25">
      <c r="F32" s="45"/>
    </row>
  </sheetData>
  <mergeCells count="25">
    <mergeCell ref="B25:C25"/>
    <mergeCell ref="B21:E21"/>
    <mergeCell ref="B20:E20"/>
    <mergeCell ref="J12:K12"/>
    <mergeCell ref="F12:G12"/>
    <mergeCell ref="B19:E19"/>
    <mergeCell ref="J19:L19"/>
    <mergeCell ref="X23:Y23"/>
    <mergeCell ref="T22:W22"/>
    <mergeCell ref="J20:L20"/>
    <mergeCell ref="F6:G6"/>
    <mergeCell ref="F7:G7"/>
    <mergeCell ref="R3:T3"/>
    <mergeCell ref="D16:E16"/>
    <mergeCell ref="R6:S6"/>
    <mergeCell ref="J3:L3"/>
    <mergeCell ref="N3:P3"/>
    <mergeCell ref="J4:K4"/>
    <mergeCell ref="B3:D3"/>
    <mergeCell ref="F3:H3"/>
    <mergeCell ref="J5:K5"/>
    <mergeCell ref="F5:G5"/>
    <mergeCell ref="F4:G4"/>
    <mergeCell ref="R4:S4"/>
    <mergeCell ref="R5:S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7A71-6AAA-4394-80B9-BBA8274AE6E6}">
  <dimension ref="B2:W44"/>
  <sheetViews>
    <sheetView topLeftCell="A33" workbookViewId="0">
      <selection activeCell="B34" sqref="B34"/>
    </sheetView>
  </sheetViews>
  <sheetFormatPr defaultRowHeight="15"/>
  <cols>
    <col min="2" max="2" width="5.7109375" customWidth="1"/>
    <col min="3" max="3" width="25.140625" customWidth="1"/>
    <col min="4" max="4" width="9.7109375" customWidth="1"/>
    <col min="5" max="5" width="10.7109375" customWidth="1"/>
    <col min="6" max="6" width="9.7109375" customWidth="1"/>
    <col min="7" max="8" width="12.7109375" customWidth="1"/>
    <col min="9" max="11" width="9.7109375" customWidth="1"/>
    <col min="12" max="13" width="12.7109375" customWidth="1"/>
    <col min="14" max="14" width="9.7109375" customWidth="1"/>
    <col min="15" max="15" width="11" customWidth="1"/>
    <col min="16" max="16" width="9.7109375" customWidth="1"/>
    <col min="17" max="18" width="12.7109375" customWidth="1"/>
    <col min="19" max="19" width="9.7109375" customWidth="1"/>
    <col min="20" max="20" width="11.5703125" customWidth="1"/>
    <col min="21" max="21" width="9.7109375" customWidth="1"/>
    <col min="22" max="23" width="12.7109375" customWidth="1"/>
  </cols>
  <sheetData>
    <row r="2" spans="2:23" ht="18.75">
      <c r="D2" s="207" t="s">
        <v>24</v>
      </c>
      <c r="E2" s="208"/>
      <c r="F2" s="208"/>
      <c r="G2" s="208"/>
      <c r="H2" s="208"/>
      <c r="I2" s="208"/>
      <c r="J2" s="208"/>
      <c r="K2" s="208"/>
      <c r="L2" s="208"/>
      <c r="M2" s="208"/>
      <c r="N2" s="208"/>
      <c r="O2" s="208"/>
      <c r="P2" s="208"/>
      <c r="Q2" s="208"/>
      <c r="R2" s="208"/>
      <c r="S2" s="208"/>
      <c r="T2" s="208"/>
      <c r="U2" s="208"/>
      <c r="V2" s="208"/>
      <c r="W2" s="209"/>
    </row>
    <row r="3" spans="2:23">
      <c r="D3" s="173" t="s">
        <v>25</v>
      </c>
      <c r="E3" s="174"/>
      <c r="F3" s="174"/>
      <c r="G3" s="174"/>
      <c r="H3" s="175"/>
      <c r="I3" s="176" t="s">
        <v>26</v>
      </c>
      <c r="J3" s="177"/>
      <c r="K3" s="177"/>
      <c r="L3" s="177"/>
      <c r="M3" s="178"/>
      <c r="N3" s="179" t="s">
        <v>27</v>
      </c>
      <c r="O3" s="180"/>
      <c r="P3" s="180"/>
      <c r="Q3" s="180"/>
      <c r="R3" s="181"/>
      <c r="S3" s="182" t="s">
        <v>28</v>
      </c>
      <c r="T3" s="183"/>
      <c r="U3" s="183"/>
      <c r="V3" s="183"/>
      <c r="W3" s="184"/>
    </row>
    <row r="4" spans="2:23">
      <c r="B4" s="210" t="s">
        <v>29</v>
      </c>
      <c r="C4" s="210" t="s">
        <v>30</v>
      </c>
      <c r="D4" s="50" t="s">
        <v>31</v>
      </c>
      <c r="E4" s="17" t="s">
        <v>32</v>
      </c>
      <c r="F4" s="17" t="s">
        <v>33</v>
      </c>
      <c r="G4" s="185" t="s">
        <v>16</v>
      </c>
      <c r="H4" s="187" t="s">
        <v>13</v>
      </c>
      <c r="I4" s="120" t="s">
        <v>31</v>
      </c>
      <c r="J4" s="17" t="s">
        <v>32</v>
      </c>
      <c r="K4" s="17" t="s">
        <v>33</v>
      </c>
      <c r="L4" s="189" t="s">
        <v>16</v>
      </c>
      <c r="M4" s="191" t="s">
        <v>13</v>
      </c>
      <c r="N4" s="61" t="s">
        <v>31</v>
      </c>
      <c r="O4" s="62" t="s">
        <v>32</v>
      </c>
      <c r="P4" s="62" t="s">
        <v>33</v>
      </c>
      <c r="Q4" s="193" t="s">
        <v>16</v>
      </c>
      <c r="R4" s="195" t="s">
        <v>13</v>
      </c>
      <c r="S4" s="102" t="s">
        <v>31</v>
      </c>
      <c r="T4" s="66" t="s">
        <v>32</v>
      </c>
      <c r="U4" s="66" t="s">
        <v>33</v>
      </c>
      <c r="V4" s="197" t="s">
        <v>16</v>
      </c>
      <c r="W4" s="199" t="s">
        <v>13</v>
      </c>
    </row>
    <row r="5" spans="2:23">
      <c r="B5" s="214"/>
      <c r="C5" s="211"/>
      <c r="D5" s="72">
        <v>1</v>
      </c>
      <c r="E5" s="59">
        <v>4</v>
      </c>
      <c r="F5" s="59">
        <v>5</v>
      </c>
      <c r="G5" s="186"/>
      <c r="H5" s="188"/>
      <c r="I5" s="76">
        <v>8</v>
      </c>
      <c r="J5" s="4">
        <v>11</v>
      </c>
      <c r="K5" s="4">
        <v>12</v>
      </c>
      <c r="L5" s="190"/>
      <c r="M5" s="192"/>
      <c r="N5" s="63">
        <v>15</v>
      </c>
      <c r="O5" s="64">
        <v>18</v>
      </c>
      <c r="P5" s="64">
        <v>19</v>
      </c>
      <c r="Q5" s="194"/>
      <c r="R5" s="196"/>
      <c r="S5" s="103">
        <v>22</v>
      </c>
      <c r="T5" s="68">
        <v>25</v>
      </c>
      <c r="U5" s="68">
        <v>26</v>
      </c>
      <c r="V5" s="198"/>
      <c r="W5" s="200"/>
    </row>
    <row r="6" spans="2:23">
      <c r="B6" s="57">
        <v>1</v>
      </c>
      <c r="C6" s="74" t="s">
        <v>34</v>
      </c>
      <c r="D6" s="212" t="s">
        <v>35</v>
      </c>
      <c r="E6" s="213"/>
      <c r="F6" s="213"/>
      <c r="G6" s="3">
        <v>0</v>
      </c>
      <c r="H6" s="52">
        <v>0</v>
      </c>
      <c r="I6" s="203" t="s">
        <v>35</v>
      </c>
      <c r="J6" s="213"/>
      <c r="K6" s="213"/>
      <c r="L6" s="3">
        <v>0</v>
      </c>
      <c r="M6" s="55">
        <v>0</v>
      </c>
      <c r="N6" s="212" t="s">
        <v>35</v>
      </c>
      <c r="O6" s="213"/>
      <c r="P6" s="213"/>
      <c r="Q6" s="3">
        <v>0</v>
      </c>
      <c r="R6" s="52">
        <v>0</v>
      </c>
      <c r="S6" s="203" t="s">
        <v>35</v>
      </c>
      <c r="T6" s="213"/>
      <c r="U6" s="213"/>
      <c r="V6" s="3">
        <v>0</v>
      </c>
      <c r="W6" s="52">
        <v>0</v>
      </c>
    </row>
    <row r="7" spans="2:23">
      <c r="B7" s="57">
        <v>2</v>
      </c>
      <c r="C7" s="74" t="s">
        <v>36</v>
      </c>
      <c r="D7" s="201" t="s">
        <v>37</v>
      </c>
      <c r="E7" s="202"/>
      <c r="F7" s="203"/>
      <c r="G7" s="3">
        <v>0</v>
      </c>
      <c r="H7" s="52">
        <v>0</v>
      </c>
      <c r="I7" s="202" t="s">
        <v>37</v>
      </c>
      <c r="J7" s="202"/>
      <c r="K7" s="203"/>
      <c r="L7" s="3">
        <v>0</v>
      </c>
      <c r="M7" s="55">
        <v>0</v>
      </c>
      <c r="N7" s="201" t="s">
        <v>37</v>
      </c>
      <c r="O7" s="202"/>
      <c r="P7" s="203"/>
      <c r="Q7" s="3">
        <v>0</v>
      </c>
      <c r="R7" s="52">
        <v>0</v>
      </c>
      <c r="S7" s="202" t="s">
        <v>37</v>
      </c>
      <c r="T7" s="202"/>
      <c r="U7" s="203"/>
      <c r="V7" s="3">
        <v>0</v>
      </c>
      <c r="W7" s="52">
        <v>0</v>
      </c>
    </row>
    <row r="8" spans="2:23">
      <c r="B8" s="57">
        <v>3</v>
      </c>
      <c r="C8" s="74" t="s">
        <v>38</v>
      </c>
      <c r="D8" s="201" t="s">
        <v>35</v>
      </c>
      <c r="E8" s="202"/>
      <c r="F8" s="203"/>
      <c r="G8" s="3">
        <v>130</v>
      </c>
      <c r="H8" s="52">
        <v>70</v>
      </c>
      <c r="I8" s="202" t="s">
        <v>35</v>
      </c>
      <c r="J8" s="202"/>
      <c r="K8" s="203"/>
      <c r="L8" s="3">
        <v>130</v>
      </c>
      <c r="M8" s="55">
        <v>70</v>
      </c>
      <c r="N8" s="201" t="s">
        <v>37</v>
      </c>
      <c r="O8" s="202"/>
      <c r="P8" s="203"/>
      <c r="Q8" s="3">
        <v>0</v>
      </c>
      <c r="R8" s="52">
        <v>0</v>
      </c>
      <c r="S8" s="202" t="s">
        <v>37</v>
      </c>
      <c r="T8" s="202"/>
      <c r="U8" s="203"/>
      <c r="V8" s="3">
        <v>0</v>
      </c>
      <c r="W8" s="52">
        <v>0</v>
      </c>
    </row>
    <row r="9" spans="2:23">
      <c r="B9" s="57">
        <v>4</v>
      </c>
      <c r="C9" s="74" t="s">
        <v>39</v>
      </c>
      <c r="D9" s="201" t="s">
        <v>37</v>
      </c>
      <c r="E9" s="202"/>
      <c r="F9" s="203"/>
      <c r="G9" s="3">
        <v>0</v>
      </c>
      <c r="H9" s="52">
        <v>0</v>
      </c>
      <c r="I9" s="202" t="s">
        <v>37</v>
      </c>
      <c r="J9" s="202"/>
      <c r="K9" s="203"/>
      <c r="L9" s="3">
        <v>0</v>
      </c>
      <c r="M9" s="55">
        <v>70</v>
      </c>
      <c r="N9" s="201" t="s">
        <v>37</v>
      </c>
      <c r="O9" s="202"/>
      <c r="P9" s="203"/>
      <c r="Q9" s="3">
        <v>0</v>
      </c>
      <c r="R9" s="52">
        <v>0</v>
      </c>
      <c r="S9" s="202" t="s">
        <v>37</v>
      </c>
      <c r="T9" s="202"/>
      <c r="U9" s="203"/>
      <c r="V9" s="3">
        <v>0</v>
      </c>
      <c r="W9" s="52">
        <v>0</v>
      </c>
    </row>
    <row r="10" spans="2:23">
      <c r="B10" s="57">
        <v>5</v>
      </c>
      <c r="C10" s="74" t="s">
        <v>40</v>
      </c>
      <c r="D10" s="201" t="s">
        <v>35</v>
      </c>
      <c r="E10" s="202"/>
      <c r="F10" s="203"/>
      <c r="G10" s="3">
        <v>130</v>
      </c>
      <c r="H10" s="52">
        <v>70</v>
      </c>
      <c r="I10" s="202" t="s">
        <v>35</v>
      </c>
      <c r="J10" s="202"/>
      <c r="K10" s="203"/>
      <c r="L10" s="3">
        <v>130</v>
      </c>
      <c r="M10" s="55">
        <v>70</v>
      </c>
      <c r="N10" s="201" t="s">
        <v>37</v>
      </c>
      <c r="O10" s="202"/>
      <c r="P10" s="203"/>
      <c r="Q10" s="3">
        <v>0</v>
      </c>
      <c r="R10" s="52">
        <v>0</v>
      </c>
      <c r="S10" s="202" t="s">
        <v>37</v>
      </c>
      <c r="T10" s="202"/>
      <c r="U10" s="203"/>
      <c r="V10" s="3">
        <v>0</v>
      </c>
      <c r="W10" s="52">
        <v>0</v>
      </c>
    </row>
    <row r="11" spans="2:23">
      <c r="B11" s="57">
        <v>6</v>
      </c>
      <c r="C11" s="74" t="s">
        <v>41</v>
      </c>
      <c r="D11" s="201" t="s">
        <v>37</v>
      </c>
      <c r="E11" s="202"/>
      <c r="F11" s="203"/>
      <c r="G11" s="3">
        <v>130</v>
      </c>
      <c r="H11" s="52">
        <v>70</v>
      </c>
      <c r="I11" s="202" t="s">
        <v>35</v>
      </c>
      <c r="J11" s="202"/>
      <c r="K11" s="203"/>
      <c r="L11" s="3">
        <v>130</v>
      </c>
      <c r="M11" s="55">
        <v>70</v>
      </c>
      <c r="N11" s="201" t="s">
        <v>37</v>
      </c>
      <c r="O11" s="202"/>
      <c r="P11" s="203"/>
      <c r="Q11" s="3">
        <v>0</v>
      </c>
      <c r="R11" s="52">
        <v>0</v>
      </c>
      <c r="S11" s="202" t="s">
        <v>37</v>
      </c>
      <c r="T11" s="202"/>
      <c r="U11" s="203"/>
      <c r="V11" s="3">
        <v>0</v>
      </c>
      <c r="W11" s="52">
        <v>0</v>
      </c>
    </row>
    <row r="12" spans="2:23">
      <c r="B12" s="57">
        <v>7</v>
      </c>
      <c r="C12" s="74" t="s">
        <v>42</v>
      </c>
      <c r="D12" s="201" t="s">
        <v>37</v>
      </c>
      <c r="E12" s="202"/>
      <c r="F12" s="203"/>
      <c r="G12" s="3">
        <v>0</v>
      </c>
      <c r="H12" s="52">
        <v>70</v>
      </c>
      <c r="I12" s="202" t="s">
        <v>37</v>
      </c>
      <c r="J12" s="202"/>
      <c r="K12" s="203"/>
      <c r="L12" s="3">
        <v>0</v>
      </c>
      <c r="M12" s="55">
        <v>70</v>
      </c>
      <c r="N12" s="201" t="s">
        <v>37</v>
      </c>
      <c r="O12" s="202"/>
      <c r="P12" s="203"/>
      <c r="Q12" s="3">
        <v>0</v>
      </c>
      <c r="R12" s="52">
        <v>0</v>
      </c>
      <c r="S12" s="202" t="s">
        <v>37</v>
      </c>
      <c r="T12" s="202"/>
      <c r="U12" s="203"/>
      <c r="V12" s="3">
        <v>0</v>
      </c>
      <c r="W12" s="52">
        <v>0</v>
      </c>
    </row>
    <row r="13" spans="2:23">
      <c r="B13" s="57">
        <v>8</v>
      </c>
      <c r="C13" s="74" t="s">
        <v>43</v>
      </c>
      <c r="D13" s="201" t="s">
        <v>37</v>
      </c>
      <c r="E13" s="202"/>
      <c r="F13" s="203"/>
      <c r="G13" s="3">
        <v>0</v>
      </c>
      <c r="H13" s="52">
        <v>70</v>
      </c>
      <c r="I13" s="202" t="s">
        <v>37</v>
      </c>
      <c r="J13" s="202"/>
      <c r="K13" s="203"/>
      <c r="L13" s="3">
        <v>0</v>
      </c>
      <c r="M13" s="55">
        <v>0</v>
      </c>
      <c r="N13" s="201" t="s">
        <v>37</v>
      </c>
      <c r="O13" s="202"/>
      <c r="P13" s="203"/>
      <c r="Q13" s="3">
        <v>0</v>
      </c>
      <c r="R13" s="52">
        <v>0</v>
      </c>
      <c r="S13" s="202" t="s">
        <v>37</v>
      </c>
      <c r="T13" s="202"/>
      <c r="U13" s="203"/>
      <c r="V13" s="3">
        <v>0</v>
      </c>
      <c r="W13" s="52">
        <v>0</v>
      </c>
    </row>
    <row r="14" spans="2:23">
      <c r="B14" s="57">
        <v>9</v>
      </c>
      <c r="C14" s="74" t="s">
        <v>44</v>
      </c>
      <c r="D14" s="201" t="s">
        <v>35</v>
      </c>
      <c r="E14" s="202"/>
      <c r="F14" s="203"/>
      <c r="G14" s="3">
        <v>130</v>
      </c>
      <c r="H14" s="52">
        <v>0</v>
      </c>
      <c r="I14" s="202" t="s">
        <v>37</v>
      </c>
      <c r="J14" s="202"/>
      <c r="K14" s="203"/>
      <c r="L14" s="3">
        <v>130</v>
      </c>
      <c r="M14" s="55">
        <v>0</v>
      </c>
      <c r="N14" s="201" t="s">
        <v>37</v>
      </c>
      <c r="O14" s="202"/>
      <c r="P14" s="203"/>
      <c r="Q14" s="3">
        <v>0</v>
      </c>
      <c r="R14" s="52">
        <v>0</v>
      </c>
      <c r="S14" s="202" t="s">
        <v>37</v>
      </c>
      <c r="T14" s="202"/>
      <c r="U14" s="203"/>
      <c r="V14" s="3">
        <v>0</v>
      </c>
      <c r="W14" s="52">
        <v>0</v>
      </c>
    </row>
    <row r="15" spans="2:23">
      <c r="B15" s="57">
        <v>10</v>
      </c>
      <c r="C15" s="74" t="s">
        <v>45</v>
      </c>
      <c r="D15" s="201" t="s">
        <v>35</v>
      </c>
      <c r="E15" s="202"/>
      <c r="F15" s="203"/>
      <c r="G15" s="3">
        <v>0</v>
      </c>
      <c r="H15" s="52">
        <v>0</v>
      </c>
      <c r="I15" s="202" t="s">
        <v>35</v>
      </c>
      <c r="J15" s="202"/>
      <c r="K15" s="203"/>
      <c r="L15" s="3">
        <v>0</v>
      </c>
      <c r="M15" s="55">
        <v>0</v>
      </c>
      <c r="N15" s="201" t="s">
        <v>37</v>
      </c>
      <c r="O15" s="202"/>
      <c r="P15" s="203"/>
      <c r="Q15" s="3">
        <v>0</v>
      </c>
      <c r="R15" s="52">
        <v>0</v>
      </c>
      <c r="S15" s="202" t="s">
        <v>37</v>
      </c>
      <c r="T15" s="202"/>
      <c r="U15" s="203"/>
      <c r="V15" s="3">
        <v>0</v>
      </c>
      <c r="W15" s="52">
        <v>0</v>
      </c>
    </row>
    <row r="16" spans="2:23">
      <c r="B16" s="57">
        <v>11</v>
      </c>
      <c r="C16" s="74" t="s">
        <v>46</v>
      </c>
      <c r="D16" s="201" t="s">
        <v>35</v>
      </c>
      <c r="E16" s="202"/>
      <c r="F16" s="203"/>
      <c r="G16" s="3">
        <v>130</v>
      </c>
      <c r="H16" s="52">
        <v>70</v>
      </c>
      <c r="I16" s="202" t="s">
        <v>37</v>
      </c>
      <c r="J16" s="202"/>
      <c r="K16" s="203"/>
      <c r="L16" s="3">
        <v>0</v>
      </c>
      <c r="M16" s="55">
        <v>0</v>
      </c>
      <c r="N16" s="201" t="s">
        <v>37</v>
      </c>
      <c r="O16" s="202"/>
      <c r="P16" s="203"/>
      <c r="Q16" s="3">
        <v>0</v>
      </c>
      <c r="R16" s="52">
        <v>0</v>
      </c>
      <c r="S16" s="202" t="s">
        <v>37</v>
      </c>
      <c r="T16" s="202"/>
      <c r="U16" s="203"/>
      <c r="V16" s="3">
        <v>0</v>
      </c>
      <c r="W16" s="52">
        <v>0</v>
      </c>
    </row>
    <row r="17" spans="2:23">
      <c r="B17" s="57">
        <v>12</v>
      </c>
      <c r="C17" s="74" t="s">
        <v>47</v>
      </c>
      <c r="D17" s="201" t="s">
        <v>37</v>
      </c>
      <c r="E17" s="202"/>
      <c r="F17" s="203"/>
      <c r="G17" s="3">
        <v>0</v>
      </c>
      <c r="H17" s="52">
        <v>0</v>
      </c>
      <c r="I17" s="202" t="s">
        <v>37</v>
      </c>
      <c r="J17" s="202"/>
      <c r="K17" s="203"/>
      <c r="L17" s="3">
        <v>0</v>
      </c>
      <c r="M17" s="55">
        <v>0</v>
      </c>
      <c r="N17" s="201" t="s">
        <v>37</v>
      </c>
      <c r="O17" s="202"/>
      <c r="P17" s="203"/>
      <c r="Q17" s="3">
        <v>0</v>
      </c>
      <c r="R17" s="52">
        <v>0</v>
      </c>
      <c r="S17" s="202" t="s">
        <v>37</v>
      </c>
      <c r="T17" s="202"/>
      <c r="U17" s="203"/>
      <c r="V17" s="3">
        <v>0</v>
      </c>
      <c r="W17" s="52">
        <v>0</v>
      </c>
    </row>
    <row r="18" spans="2:23">
      <c r="B18" s="57">
        <v>13</v>
      </c>
      <c r="C18" s="74" t="s">
        <v>48</v>
      </c>
      <c r="D18" s="201" t="s">
        <v>37</v>
      </c>
      <c r="E18" s="202"/>
      <c r="F18" s="203"/>
      <c r="G18" s="3">
        <v>0</v>
      </c>
      <c r="H18" s="52">
        <v>0</v>
      </c>
      <c r="I18" s="202" t="s">
        <v>37</v>
      </c>
      <c r="J18" s="202"/>
      <c r="K18" s="203"/>
      <c r="L18" s="3">
        <v>0</v>
      </c>
      <c r="M18" s="55">
        <v>0</v>
      </c>
      <c r="N18" s="201" t="s">
        <v>37</v>
      </c>
      <c r="O18" s="202"/>
      <c r="P18" s="203"/>
      <c r="Q18" s="3">
        <v>0</v>
      </c>
      <c r="R18" s="52">
        <v>0</v>
      </c>
      <c r="S18" s="202" t="s">
        <v>37</v>
      </c>
      <c r="T18" s="202"/>
      <c r="U18" s="203"/>
      <c r="V18" s="3">
        <v>0</v>
      </c>
      <c r="W18" s="52">
        <v>0</v>
      </c>
    </row>
    <row r="19" spans="2:23">
      <c r="B19" s="57">
        <v>14</v>
      </c>
      <c r="C19" s="74" t="s">
        <v>49</v>
      </c>
      <c r="D19" s="201" t="s">
        <v>37</v>
      </c>
      <c r="E19" s="202"/>
      <c r="F19" s="203"/>
      <c r="G19" s="3">
        <v>0</v>
      </c>
      <c r="H19" s="52">
        <v>70</v>
      </c>
      <c r="I19" s="202" t="s">
        <v>37</v>
      </c>
      <c r="J19" s="202"/>
      <c r="K19" s="203"/>
      <c r="L19" s="3">
        <v>0</v>
      </c>
      <c r="M19" s="55">
        <v>70</v>
      </c>
      <c r="N19" s="201" t="s">
        <v>37</v>
      </c>
      <c r="O19" s="202"/>
      <c r="P19" s="203"/>
      <c r="Q19" s="3">
        <v>0</v>
      </c>
      <c r="R19" s="52">
        <v>0</v>
      </c>
      <c r="S19" s="202" t="s">
        <v>37</v>
      </c>
      <c r="T19" s="202"/>
      <c r="U19" s="203"/>
      <c r="V19" s="3">
        <v>0</v>
      </c>
      <c r="W19" s="52">
        <v>0</v>
      </c>
    </row>
    <row r="20" spans="2:23">
      <c r="B20" s="57">
        <v>15</v>
      </c>
      <c r="C20" s="74" t="s">
        <v>50</v>
      </c>
      <c r="D20" s="201" t="s">
        <v>37</v>
      </c>
      <c r="E20" s="202"/>
      <c r="F20" s="203"/>
      <c r="G20" s="3">
        <v>0</v>
      </c>
      <c r="H20" s="52">
        <v>70</v>
      </c>
      <c r="I20" s="202" t="s">
        <v>37</v>
      </c>
      <c r="J20" s="202"/>
      <c r="K20" s="203"/>
      <c r="L20" s="3">
        <v>0</v>
      </c>
      <c r="M20" s="55">
        <v>0</v>
      </c>
      <c r="N20" s="201" t="s">
        <v>37</v>
      </c>
      <c r="O20" s="202"/>
      <c r="P20" s="203"/>
      <c r="Q20" s="3">
        <v>0</v>
      </c>
      <c r="R20" s="52">
        <v>0</v>
      </c>
      <c r="S20" s="202" t="s">
        <v>37</v>
      </c>
      <c r="T20" s="202"/>
      <c r="U20" s="203"/>
      <c r="V20" s="3">
        <v>0</v>
      </c>
      <c r="W20" s="52">
        <v>0</v>
      </c>
    </row>
    <row r="21" spans="2:23">
      <c r="B21" s="57">
        <v>16</v>
      </c>
      <c r="C21" s="74" t="s">
        <v>51</v>
      </c>
      <c r="D21" s="201" t="s">
        <v>35</v>
      </c>
      <c r="E21" s="202"/>
      <c r="F21" s="203"/>
      <c r="G21" s="3">
        <v>130</v>
      </c>
      <c r="H21" s="52">
        <v>70</v>
      </c>
      <c r="I21" s="202" t="s">
        <v>35</v>
      </c>
      <c r="J21" s="202"/>
      <c r="K21" s="203"/>
      <c r="L21" s="3">
        <v>130</v>
      </c>
      <c r="M21" s="55">
        <v>70</v>
      </c>
      <c r="N21" s="201" t="s">
        <v>37</v>
      </c>
      <c r="O21" s="202"/>
      <c r="P21" s="203"/>
      <c r="Q21" s="3">
        <v>0</v>
      </c>
      <c r="R21" s="52">
        <v>0</v>
      </c>
      <c r="S21" s="202" t="s">
        <v>37</v>
      </c>
      <c r="T21" s="202"/>
      <c r="U21" s="203"/>
      <c r="V21" s="3">
        <v>0</v>
      </c>
      <c r="W21" s="52">
        <v>0</v>
      </c>
    </row>
    <row r="22" spans="2:23">
      <c r="B22" s="57">
        <v>17</v>
      </c>
      <c r="C22" s="74" t="s">
        <v>52</v>
      </c>
      <c r="D22" s="201" t="s">
        <v>37</v>
      </c>
      <c r="E22" s="202"/>
      <c r="F22" s="203"/>
      <c r="G22" s="3">
        <v>0</v>
      </c>
      <c r="H22" s="52">
        <v>0</v>
      </c>
      <c r="I22" s="202" t="s">
        <v>37</v>
      </c>
      <c r="J22" s="202"/>
      <c r="K22" s="203"/>
      <c r="L22" s="3">
        <v>0</v>
      </c>
      <c r="M22" s="55">
        <v>70</v>
      </c>
      <c r="N22" s="201" t="s">
        <v>37</v>
      </c>
      <c r="O22" s="202"/>
      <c r="P22" s="203"/>
      <c r="Q22" s="3">
        <v>0</v>
      </c>
      <c r="R22" s="52">
        <v>0</v>
      </c>
      <c r="S22" s="202" t="s">
        <v>37</v>
      </c>
      <c r="T22" s="202"/>
      <c r="U22" s="203"/>
      <c r="V22" s="3">
        <v>0</v>
      </c>
      <c r="W22" s="52">
        <v>0</v>
      </c>
    </row>
    <row r="23" spans="2:23">
      <c r="B23" s="57">
        <v>18</v>
      </c>
      <c r="C23" s="74" t="s">
        <v>53</v>
      </c>
      <c r="D23" s="201" t="s">
        <v>35</v>
      </c>
      <c r="E23" s="202"/>
      <c r="F23" s="203"/>
      <c r="G23" s="3">
        <v>65</v>
      </c>
      <c r="H23" s="52">
        <v>70</v>
      </c>
      <c r="I23" s="202" t="s">
        <v>35</v>
      </c>
      <c r="J23" s="202"/>
      <c r="K23" s="203"/>
      <c r="L23" s="3">
        <v>65</v>
      </c>
      <c r="M23" s="55">
        <v>70</v>
      </c>
      <c r="N23" s="201" t="s">
        <v>37</v>
      </c>
      <c r="O23" s="202"/>
      <c r="P23" s="203"/>
      <c r="Q23" s="3">
        <v>0</v>
      </c>
      <c r="R23" s="52">
        <v>0</v>
      </c>
      <c r="S23" s="202" t="s">
        <v>37</v>
      </c>
      <c r="T23" s="202"/>
      <c r="U23" s="203"/>
      <c r="V23" s="3">
        <v>0</v>
      </c>
      <c r="W23" s="52">
        <v>0</v>
      </c>
    </row>
    <row r="24" spans="2:23">
      <c r="B24" s="57">
        <v>19</v>
      </c>
      <c r="C24" s="74" t="s">
        <v>54</v>
      </c>
      <c r="D24" s="201" t="s">
        <v>35</v>
      </c>
      <c r="E24" s="202"/>
      <c r="F24" s="203"/>
      <c r="G24" s="3">
        <v>0</v>
      </c>
      <c r="H24" s="52">
        <v>0</v>
      </c>
      <c r="I24" s="202" t="s">
        <v>35</v>
      </c>
      <c r="J24" s="202"/>
      <c r="K24" s="203"/>
      <c r="L24" s="3">
        <v>0</v>
      </c>
      <c r="M24" s="55">
        <v>0</v>
      </c>
      <c r="N24" s="201" t="s">
        <v>37</v>
      </c>
      <c r="O24" s="202"/>
      <c r="P24" s="203"/>
      <c r="Q24" s="3">
        <v>0</v>
      </c>
      <c r="R24" s="52">
        <v>0</v>
      </c>
      <c r="S24" s="202" t="s">
        <v>37</v>
      </c>
      <c r="T24" s="202"/>
      <c r="U24" s="203"/>
      <c r="V24" s="3">
        <v>0</v>
      </c>
      <c r="W24" s="52">
        <v>0</v>
      </c>
    </row>
    <row r="25" spans="2:23">
      <c r="B25" s="57">
        <v>20</v>
      </c>
      <c r="C25" s="74" t="s">
        <v>55</v>
      </c>
      <c r="D25" s="201" t="s">
        <v>35</v>
      </c>
      <c r="E25" s="202"/>
      <c r="F25" s="203"/>
      <c r="G25" s="3">
        <v>65</v>
      </c>
      <c r="H25" s="52">
        <v>70</v>
      </c>
      <c r="I25" s="202" t="s">
        <v>35</v>
      </c>
      <c r="J25" s="202"/>
      <c r="K25" s="203"/>
      <c r="L25" s="3">
        <v>65</v>
      </c>
      <c r="M25" s="55">
        <v>70</v>
      </c>
      <c r="N25" s="201" t="s">
        <v>37</v>
      </c>
      <c r="O25" s="202"/>
      <c r="P25" s="203"/>
      <c r="Q25" s="3">
        <v>0</v>
      </c>
      <c r="R25" s="52">
        <v>0</v>
      </c>
      <c r="S25" s="202" t="s">
        <v>37</v>
      </c>
      <c r="T25" s="202"/>
      <c r="U25" s="203"/>
      <c r="V25" s="3">
        <v>0</v>
      </c>
      <c r="W25" s="52">
        <v>0</v>
      </c>
    </row>
    <row r="26" spans="2:23">
      <c r="B26" s="57">
        <v>21</v>
      </c>
      <c r="C26" s="74" t="s">
        <v>56</v>
      </c>
      <c r="D26" s="201" t="s">
        <v>37</v>
      </c>
      <c r="E26" s="202"/>
      <c r="F26" s="203"/>
      <c r="G26" s="3">
        <v>0</v>
      </c>
      <c r="H26" s="52">
        <v>0</v>
      </c>
      <c r="I26" s="202" t="s">
        <v>37</v>
      </c>
      <c r="J26" s="202"/>
      <c r="K26" s="203"/>
      <c r="L26" s="3">
        <v>0</v>
      </c>
      <c r="M26" s="55">
        <v>0</v>
      </c>
      <c r="N26" s="201" t="s">
        <v>37</v>
      </c>
      <c r="O26" s="202"/>
      <c r="P26" s="203"/>
      <c r="Q26" s="3">
        <v>0</v>
      </c>
      <c r="R26" s="52">
        <v>0</v>
      </c>
      <c r="S26" s="202" t="s">
        <v>37</v>
      </c>
      <c r="T26" s="202"/>
      <c r="U26" s="203"/>
      <c r="V26" s="3">
        <v>0</v>
      </c>
      <c r="W26" s="52">
        <v>0</v>
      </c>
    </row>
    <row r="27" spans="2:23">
      <c r="B27" s="57">
        <v>22</v>
      </c>
      <c r="C27" s="74" t="s">
        <v>57</v>
      </c>
      <c r="D27" s="201" t="s">
        <v>37</v>
      </c>
      <c r="E27" s="202"/>
      <c r="F27" s="203"/>
      <c r="G27" s="3">
        <v>0</v>
      </c>
      <c r="H27" s="52">
        <v>70</v>
      </c>
      <c r="I27" s="202" t="s">
        <v>37</v>
      </c>
      <c r="J27" s="202"/>
      <c r="K27" s="203"/>
      <c r="L27" s="3">
        <v>0</v>
      </c>
      <c r="M27" s="55">
        <v>70</v>
      </c>
      <c r="N27" s="201" t="s">
        <v>37</v>
      </c>
      <c r="O27" s="202"/>
      <c r="P27" s="203"/>
      <c r="Q27" s="3">
        <v>0</v>
      </c>
      <c r="R27" s="52">
        <v>0</v>
      </c>
      <c r="S27" s="202" t="s">
        <v>37</v>
      </c>
      <c r="T27" s="202"/>
      <c r="U27" s="203"/>
      <c r="V27" s="3">
        <v>0</v>
      </c>
      <c r="W27" s="52">
        <v>0</v>
      </c>
    </row>
    <row r="28" spans="2:23">
      <c r="B28" s="57">
        <v>23</v>
      </c>
      <c r="C28" s="74" t="s">
        <v>58</v>
      </c>
      <c r="D28" s="201" t="s">
        <v>37</v>
      </c>
      <c r="E28" s="202"/>
      <c r="F28" s="203"/>
      <c r="G28" s="3">
        <v>130</v>
      </c>
      <c r="H28" s="52">
        <v>70</v>
      </c>
      <c r="I28" s="202" t="s">
        <v>35</v>
      </c>
      <c r="J28" s="202"/>
      <c r="K28" s="203"/>
      <c r="L28" s="3">
        <v>130</v>
      </c>
      <c r="M28" s="55">
        <v>70</v>
      </c>
      <c r="N28" s="201" t="s">
        <v>37</v>
      </c>
      <c r="O28" s="202"/>
      <c r="P28" s="203"/>
      <c r="Q28" s="3">
        <v>0</v>
      </c>
      <c r="R28" s="52">
        <v>0</v>
      </c>
      <c r="S28" s="202" t="s">
        <v>37</v>
      </c>
      <c r="T28" s="202"/>
      <c r="U28" s="203"/>
      <c r="V28" s="3">
        <v>0</v>
      </c>
      <c r="W28" s="52">
        <v>0</v>
      </c>
    </row>
    <row r="29" spans="2:23">
      <c r="B29" s="57">
        <v>24</v>
      </c>
      <c r="C29" s="74" t="s">
        <v>59</v>
      </c>
      <c r="D29" s="201" t="s">
        <v>35</v>
      </c>
      <c r="E29" s="202"/>
      <c r="F29" s="203"/>
      <c r="G29" s="3">
        <v>65</v>
      </c>
      <c r="H29" s="52">
        <v>140</v>
      </c>
      <c r="I29" s="202" t="s">
        <v>37</v>
      </c>
      <c r="J29" s="202"/>
      <c r="K29" s="203"/>
      <c r="L29" s="3">
        <v>0</v>
      </c>
      <c r="M29" s="55">
        <v>0</v>
      </c>
      <c r="N29" s="201" t="s">
        <v>37</v>
      </c>
      <c r="O29" s="202"/>
      <c r="P29" s="203"/>
      <c r="Q29" s="3">
        <v>0</v>
      </c>
      <c r="R29" s="52">
        <v>0</v>
      </c>
      <c r="S29" s="202" t="s">
        <v>37</v>
      </c>
      <c r="T29" s="202"/>
      <c r="U29" s="203"/>
      <c r="V29" s="3">
        <v>0</v>
      </c>
      <c r="W29" s="52">
        <v>0</v>
      </c>
    </row>
    <row r="30" spans="2:23">
      <c r="B30" s="57">
        <v>25</v>
      </c>
      <c r="C30" s="74" t="s">
        <v>60</v>
      </c>
      <c r="D30" s="201" t="s">
        <v>35</v>
      </c>
      <c r="E30" s="202"/>
      <c r="F30" s="203"/>
      <c r="G30" s="3">
        <v>0</v>
      </c>
      <c r="H30" s="52">
        <v>0</v>
      </c>
      <c r="I30" s="202" t="s">
        <v>35</v>
      </c>
      <c r="J30" s="202"/>
      <c r="K30" s="203"/>
      <c r="L30" s="3">
        <v>130</v>
      </c>
      <c r="M30" s="55">
        <v>70</v>
      </c>
      <c r="N30" s="201" t="s">
        <v>37</v>
      </c>
      <c r="O30" s="202"/>
      <c r="P30" s="203"/>
      <c r="Q30" s="3">
        <v>0</v>
      </c>
      <c r="R30" s="52">
        <v>0</v>
      </c>
      <c r="S30" s="202" t="s">
        <v>37</v>
      </c>
      <c r="T30" s="202"/>
      <c r="U30" s="203"/>
      <c r="V30" s="3">
        <v>0</v>
      </c>
      <c r="W30" s="52">
        <v>0</v>
      </c>
    </row>
    <row r="31" spans="2:23">
      <c r="B31" s="71">
        <v>26</v>
      </c>
      <c r="C31" s="74" t="s">
        <v>61</v>
      </c>
      <c r="D31" s="201" t="s">
        <v>35</v>
      </c>
      <c r="E31" s="202"/>
      <c r="F31" s="203"/>
      <c r="G31" s="3">
        <v>130</v>
      </c>
      <c r="H31" s="52">
        <v>70</v>
      </c>
      <c r="I31" s="202" t="s">
        <v>35</v>
      </c>
      <c r="J31" s="202"/>
      <c r="K31" s="203"/>
      <c r="L31" s="3">
        <v>130</v>
      </c>
      <c r="M31" s="55">
        <v>70</v>
      </c>
      <c r="N31" s="201" t="s">
        <v>37</v>
      </c>
      <c r="O31" s="202"/>
      <c r="P31" s="203"/>
      <c r="Q31" s="3">
        <v>0</v>
      </c>
      <c r="R31" s="52">
        <v>0</v>
      </c>
      <c r="S31" s="202" t="s">
        <v>37</v>
      </c>
      <c r="T31" s="202"/>
      <c r="U31" s="203"/>
      <c r="V31" s="3">
        <v>0</v>
      </c>
      <c r="W31" s="52">
        <v>0</v>
      </c>
    </row>
    <row r="32" spans="2:23">
      <c r="B32" s="71">
        <v>27</v>
      </c>
      <c r="C32" s="74" t="s">
        <v>62</v>
      </c>
      <c r="D32" s="201" t="s">
        <v>35</v>
      </c>
      <c r="E32" s="202"/>
      <c r="F32" s="203"/>
      <c r="G32" s="3">
        <v>130</v>
      </c>
      <c r="H32" s="52">
        <v>70</v>
      </c>
      <c r="I32" s="202" t="s">
        <v>37</v>
      </c>
      <c r="J32" s="202"/>
      <c r="K32" s="203"/>
      <c r="L32" s="3">
        <v>0</v>
      </c>
      <c r="M32" s="55">
        <v>0</v>
      </c>
      <c r="N32" s="201" t="s">
        <v>37</v>
      </c>
      <c r="O32" s="202"/>
      <c r="P32" s="203"/>
      <c r="Q32" s="3">
        <v>0</v>
      </c>
      <c r="R32" s="52">
        <v>0</v>
      </c>
      <c r="S32" s="202" t="s">
        <v>37</v>
      </c>
      <c r="T32" s="202"/>
      <c r="U32" s="203"/>
      <c r="V32" s="3">
        <v>0</v>
      </c>
      <c r="W32" s="52">
        <v>0</v>
      </c>
    </row>
    <row r="33" spans="2:23">
      <c r="B33" s="58">
        <v>28</v>
      </c>
      <c r="C33" s="75" t="s">
        <v>63</v>
      </c>
      <c r="D33" s="204" t="s">
        <v>37</v>
      </c>
      <c r="E33" s="205"/>
      <c r="F33" s="206"/>
      <c r="G33" s="53">
        <v>0</v>
      </c>
      <c r="H33" s="54">
        <v>70</v>
      </c>
      <c r="I33" s="205" t="s">
        <v>37</v>
      </c>
      <c r="J33" s="205"/>
      <c r="K33" s="206"/>
      <c r="L33" s="53">
        <v>0</v>
      </c>
      <c r="M33" s="56">
        <v>0</v>
      </c>
      <c r="N33" s="204" t="s">
        <v>37</v>
      </c>
      <c r="O33" s="205"/>
      <c r="P33" s="206"/>
      <c r="Q33" s="53">
        <v>0</v>
      </c>
      <c r="R33" s="54">
        <v>0</v>
      </c>
      <c r="S33" s="205" t="s">
        <v>37</v>
      </c>
      <c r="T33" s="205"/>
      <c r="U33" s="206"/>
      <c r="V33" s="53">
        <v>0</v>
      </c>
      <c r="W33" s="54">
        <v>0</v>
      </c>
    </row>
    <row r="34" spans="2:23" ht="16.5" customHeight="1">
      <c r="O34" s="116"/>
      <c r="T34" s="116"/>
    </row>
    <row r="37" spans="2:23">
      <c r="G37" s="42">
        <f>SUM(G6:G33)</f>
        <v>1365</v>
      </c>
      <c r="H37" s="42">
        <f>SUM(H6:H33)</f>
        <v>1260</v>
      </c>
      <c r="L37" s="5">
        <f>SUM(L6:L33)</f>
        <v>1170</v>
      </c>
      <c r="M37" s="5">
        <f>SUM(M6:M33)</f>
        <v>980</v>
      </c>
      <c r="Q37" s="5">
        <f>SUM(Q6:Q33)</f>
        <v>0</v>
      </c>
      <c r="R37" s="5">
        <f>SUM(R6:R33)</f>
        <v>0</v>
      </c>
      <c r="V37" s="5">
        <f>SUM(V6:V33)</f>
        <v>0</v>
      </c>
      <c r="W37" s="5">
        <f>SUM(W6:W33)</f>
        <v>0</v>
      </c>
    </row>
    <row r="38" spans="2:23">
      <c r="D38" s="167" t="s">
        <v>8</v>
      </c>
      <c r="E38" s="167" t="s">
        <v>8</v>
      </c>
      <c r="F38" s="167"/>
      <c r="G38" s="42">
        <v>800</v>
      </c>
      <c r="H38" s="42"/>
      <c r="I38" s="167" t="s">
        <v>8</v>
      </c>
      <c r="J38" s="167" t="s">
        <v>8</v>
      </c>
      <c r="K38" s="167"/>
      <c r="L38" s="5">
        <v>800</v>
      </c>
      <c r="M38" s="5"/>
      <c r="N38" s="167" t="s">
        <v>8</v>
      </c>
      <c r="O38" s="167" t="s">
        <v>8</v>
      </c>
      <c r="P38" s="167"/>
      <c r="Q38" s="5">
        <v>0</v>
      </c>
      <c r="R38" s="5"/>
      <c r="S38" s="167" t="s">
        <v>8</v>
      </c>
      <c r="T38" s="167" t="s">
        <v>8</v>
      </c>
      <c r="U38" s="167"/>
      <c r="V38" s="5">
        <v>0</v>
      </c>
      <c r="W38" s="5"/>
    </row>
    <row r="39" spans="2:23">
      <c r="D39" s="167" t="s">
        <v>13</v>
      </c>
      <c r="E39" s="167" t="s">
        <v>13</v>
      </c>
      <c r="F39" s="167"/>
      <c r="G39" s="42">
        <v>750</v>
      </c>
      <c r="H39" s="42"/>
      <c r="I39" s="167" t="s">
        <v>13</v>
      </c>
      <c r="J39" s="167" t="s">
        <v>13</v>
      </c>
      <c r="K39" s="167"/>
      <c r="L39" s="5">
        <v>750</v>
      </c>
      <c r="M39" s="5"/>
      <c r="N39" s="167" t="s">
        <v>13</v>
      </c>
      <c r="O39" s="167" t="s">
        <v>13</v>
      </c>
      <c r="P39" s="167"/>
      <c r="Q39" s="5">
        <v>0</v>
      </c>
      <c r="R39" s="5"/>
      <c r="S39" s="167" t="s">
        <v>13</v>
      </c>
      <c r="T39" s="167" t="s">
        <v>13</v>
      </c>
      <c r="U39" s="167"/>
      <c r="V39" s="5">
        <v>0</v>
      </c>
      <c r="W39" s="5"/>
    </row>
    <row r="41" spans="2:23">
      <c r="U41" s="47"/>
    </row>
    <row r="44" spans="2:23">
      <c r="U44" s="2"/>
    </row>
  </sheetData>
  <mergeCells count="135">
    <mergeCell ref="D30:F30"/>
    <mergeCell ref="I30:K30"/>
    <mergeCell ref="N30:P30"/>
    <mergeCell ref="S30:U30"/>
    <mergeCell ref="D24:F24"/>
    <mergeCell ref="I24:K24"/>
    <mergeCell ref="N24:P24"/>
    <mergeCell ref="S24:U24"/>
    <mergeCell ref="I23:K23"/>
    <mergeCell ref="N23:P23"/>
    <mergeCell ref="S23:U23"/>
    <mergeCell ref="D25:F25"/>
    <mergeCell ref="I25:K25"/>
    <mergeCell ref="N25:P25"/>
    <mergeCell ref="S25:U25"/>
    <mergeCell ref="D18:F18"/>
    <mergeCell ref="I18:K18"/>
    <mergeCell ref="N18:P18"/>
    <mergeCell ref="S18:U18"/>
    <mergeCell ref="D21:F21"/>
    <mergeCell ref="I21:K21"/>
    <mergeCell ref="N21:P21"/>
    <mergeCell ref="D22:F22"/>
    <mergeCell ref="I22:K22"/>
    <mergeCell ref="N22:P22"/>
    <mergeCell ref="D19:F19"/>
    <mergeCell ref="I19:K19"/>
    <mergeCell ref="N19:P19"/>
    <mergeCell ref="D20:F20"/>
    <mergeCell ref="I20:K20"/>
    <mergeCell ref="N20:P20"/>
    <mergeCell ref="S28:U28"/>
    <mergeCell ref="S29:U29"/>
    <mergeCell ref="S31:U31"/>
    <mergeCell ref="S33:U33"/>
    <mergeCell ref="S6:U6"/>
    <mergeCell ref="S15:U15"/>
    <mergeCell ref="S16:U16"/>
    <mergeCell ref="S17:U17"/>
    <mergeCell ref="S19:U19"/>
    <mergeCell ref="S20:U20"/>
    <mergeCell ref="S21:U21"/>
    <mergeCell ref="S22:U22"/>
    <mergeCell ref="S26:U26"/>
    <mergeCell ref="S27:U27"/>
    <mergeCell ref="S32:U32"/>
    <mergeCell ref="S8:U8"/>
    <mergeCell ref="B4:B5"/>
    <mergeCell ref="S7:U7"/>
    <mergeCell ref="I11:K11"/>
    <mergeCell ref="I14:K14"/>
    <mergeCell ref="N11:P11"/>
    <mergeCell ref="N14:P14"/>
    <mergeCell ref="S9:U9"/>
    <mergeCell ref="S10:U10"/>
    <mergeCell ref="S11:U11"/>
    <mergeCell ref="S12:U12"/>
    <mergeCell ref="S13:U13"/>
    <mergeCell ref="S14:U14"/>
    <mergeCell ref="D7:F7"/>
    <mergeCell ref="I7:K7"/>
    <mergeCell ref="N7:P7"/>
    <mergeCell ref="D9:F9"/>
    <mergeCell ref="I9:K9"/>
    <mergeCell ref="N9:P9"/>
    <mergeCell ref="D8:F8"/>
    <mergeCell ref="I8:K8"/>
    <mergeCell ref="N8:P8"/>
    <mergeCell ref="D2:W2"/>
    <mergeCell ref="C4:C5"/>
    <mergeCell ref="D6:F6"/>
    <mergeCell ref="I6:K6"/>
    <mergeCell ref="N6:P6"/>
    <mergeCell ref="D13:F13"/>
    <mergeCell ref="I13:K13"/>
    <mergeCell ref="N13:P13"/>
    <mergeCell ref="D15:F15"/>
    <mergeCell ref="I15:K15"/>
    <mergeCell ref="N15:P15"/>
    <mergeCell ref="D10:F10"/>
    <mergeCell ref="I10:K10"/>
    <mergeCell ref="N10:P10"/>
    <mergeCell ref="D12:F12"/>
    <mergeCell ref="I12:K12"/>
    <mergeCell ref="N12:P12"/>
    <mergeCell ref="D11:F11"/>
    <mergeCell ref="D14:F14"/>
    <mergeCell ref="D16:F16"/>
    <mergeCell ref="I16:K16"/>
    <mergeCell ref="N16:P16"/>
    <mergeCell ref="I33:K33"/>
    <mergeCell ref="N33:P33"/>
    <mergeCell ref="D28:F28"/>
    <mergeCell ref="I28:K28"/>
    <mergeCell ref="N28:P28"/>
    <mergeCell ref="D29:F29"/>
    <mergeCell ref="I29:K29"/>
    <mergeCell ref="N29:P29"/>
    <mergeCell ref="D26:F26"/>
    <mergeCell ref="I26:K26"/>
    <mergeCell ref="N26:P26"/>
    <mergeCell ref="D27:F27"/>
    <mergeCell ref="I27:K27"/>
    <mergeCell ref="N27:P27"/>
    <mergeCell ref="D32:F32"/>
    <mergeCell ref="I32:K32"/>
    <mergeCell ref="N32:P32"/>
    <mergeCell ref="D17:F17"/>
    <mergeCell ref="I17:K17"/>
    <mergeCell ref="N17:P17"/>
    <mergeCell ref="D23:F23"/>
    <mergeCell ref="S38:U38"/>
    <mergeCell ref="S39:U39"/>
    <mergeCell ref="D3:H3"/>
    <mergeCell ref="I3:M3"/>
    <mergeCell ref="N3:R3"/>
    <mergeCell ref="S3:W3"/>
    <mergeCell ref="G4:G5"/>
    <mergeCell ref="H4:H5"/>
    <mergeCell ref="L4:L5"/>
    <mergeCell ref="M4:M5"/>
    <mergeCell ref="Q4:Q5"/>
    <mergeCell ref="R4:R5"/>
    <mergeCell ref="V4:V5"/>
    <mergeCell ref="W4:W5"/>
    <mergeCell ref="D39:F39"/>
    <mergeCell ref="I39:K39"/>
    <mergeCell ref="N39:P39"/>
    <mergeCell ref="D38:F38"/>
    <mergeCell ref="I38:K38"/>
    <mergeCell ref="N38:P38"/>
    <mergeCell ref="D31:F31"/>
    <mergeCell ref="I31:K31"/>
    <mergeCell ref="N31:P31"/>
    <mergeCell ref="D33:F33"/>
  </mergeCells>
  <conditionalFormatting sqref="D6:W6 D7:D33 G7:I33 Q7:S33 V7:W33 L7:N33">
    <cfRule type="containsText" dxfId="13" priority="3" operator="containsText" text="PENDIENTE">
      <formula>NOT(ISERROR(SEARCH("PENDIENTE",D6)))</formula>
    </cfRule>
    <cfRule type="containsText" dxfId="12" priority="4" operator="containsText" text="PAGADO">
      <formula>NOT(ISERROR(SEARCH("PAGADO",D6)))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258A-3C27-4E5E-8E02-E815AFD562E6}">
  <dimension ref="B2:AJ40"/>
  <sheetViews>
    <sheetView topLeftCell="A15" workbookViewId="0">
      <selection activeCell="H21" sqref="H21"/>
    </sheetView>
  </sheetViews>
  <sheetFormatPr defaultRowHeight="15"/>
  <cols>
    <col min="2" max="2" width="5.7109375" customWidth="1"/>
    <col min="3" max="3" width="25.140625" customWidth="1"/>
    <col min="4" max="4" width="9.7109375" customWidth="1"/>
    <col min="5" max="5" width="10.7109375" customWidth="1"/>
    <col min="6" max="6" width="9.7109375" customWidth="1"/>
    <col min="7" max="8" width="12.7109375" customWidth="1"/>
    <col min="9" max="11" width="9.7109375" customWidth="1"/>
    <col min="12" max="13" width="12.7109375" customWidth="1"/>
    <col min="14" max="14" width="9.7109375" customWidth="1"/>
    <col min="15" max="15" width="11" customWidth="1"/>
    <col min="16" max="16" width="9.7109375" customWidth="1"/>
    <col min="17" max="18" width="12.7109375" customWidth="1"/>
    <col min="19" max="19" width="9.7109375" customWidth="1"/>
    <col min="20" max="20" width="11.5703125" customWidth="1"/>
    <col min="21" max="21" width="9.7109375" customWidth="1"/>
    <col min="22" max="23" width="12.7109375" customWidth="1"/>
    <col min="24" max="24" width="15" style="47" customWidth="1"/>
    <col min="25" max="25" width="11.28515625" style="47" customWidth="1"/>
    <col min="26" max="26" width="14.5703125" style="47" customWidth="1"/>
    <col min="27" max="27" width="11" style="136" bestFit="1" customWidth="1"/>
    <col min="28" max="28" width="14.42578125" style="47" customWidth="1"/>
    <col min="29" max="29" width="9.140625" style="136"/>
    <col min="30" max="30" width="15.140625" style="47" customWidth="1"/>
    <col min="31" max="31" width="11.42578125" style="136" customWidth="1"/>
    <col min="32" max="32" width="13.7109375" style="47" customWidth="1"/>
    <col min="33" max="33" width="11.28515625" style="136" customWidth="1"/>
    <col min="34" max="34" width="14.42578125" style="136" customWidth="1"/>
    <col min="35" max="35" width="14.85546875" style="136" customWidth="1"/>
    <col min="36" max="36" width="35.140625" customWidth="1"/>
  </cols>
  <sheetData>
    <row r="2" spans="2:36" ht="18.75">
      <c r="D2" s="207" t="s">
        <v>18</v>
      </c>
      <c r="E2" s="208"/>
      <c r="F2" s="208"/>
      <c r="G2" s="208"/>
      <c r="H2" s="208"/>
      <c r="I2" s="208"/>
      <c r="J2" s="208"/>
      <c r="K2" s="208"/>
      <c r="L2" s="208"/>
      <c r="M2" s="208"/>
      <c r="N2" s="208"/>
      <c r="O2" s="208"/>
      <c r="P2" s="208"/>
      <c r="Q2" s="208"/>
      <c r="R2" s="208"/>
      <c r="S2" s="208"/>
      <c r="T2" s="208"/>
      <c r="U2" s="208"/>
      <c r="V2" s="208"/>
      <c r="W2" s="209"/>
      <c r="X2" s="222" t="s">
        <v>64</v>
      </c>
      <c r="Y2" s="223"/>
      <c r="Z2" s="223"/>
      <c r="AA2" s="223"/>
      <c r="AB2" s="223"/>
      <c r="AC2" s="223"/>
      <c r="AD2" s="223"/>
      <c r="AE2" s="223"/>
      <c r="AF2" s="223"/>
      <c r="AG2" s="223"/>
      <c r="AH2" s="223"/>
      <c r="AI2" s="224"/>
    </row>
    <row r="3" spans="2:36">
      <c r="D3" s="173" t="s">
        <v>25</v>
      </c>
      <c r="E3" s="174"/>
      <c r="F3" s="174"/>
      <c r="G3" s="174"/>
      <c r="H3" s="233"/>
      <c r="I3" s="234" t="s">
        <v>26</v>
      </c>
      <c r="J3" s="177"/>
      <c r="K3" s="177"/>
      <c r="L3" s="177"/>
      <c r="M3" s="178"/>
      <c r="N3" s="179" t="s">
        <v>27</v>
      </c>
      <c r="O3" s="180"/>
      <c r="P3" s="180"/>
      <c r="Q3" s="180"/>
      <c r="R3" s="235"/>
      <c r="S3" s="236" t="s">
        <v>28</v>
      </c>
      <c r="T3" s="183"/>
      <c r="U3" s="183"/>
      <c r="V3" s="183"/>
      <c r="W3" s="184"/>
      <c r="X3" s="172"/>
      <c r="Y3" s="172"/>
      <c r="Z3" s="172"/>
      <c r="AA3" s="172"/>
      <c r="AB3" s="172"/>
      <c r="AC3" s="172"/>
      <c r="AD3" s="172"/>
      <c r="AE3" s="172"/>
      <c r="AF3" s="172"/>
      <c r="AG3" s="172"/>
      <c r="AH3" s="172"/>
      <c r="AI3" s="225"/>
    </row>
    <row r="4" spans="2:36">
      <c r="B4" s="210" t="s">
        <v>29</v>
      </c>
      <c r="C4" s="210" t="s">
        <v>30</v>
      </c>
      <c r="D4" s="50" t="s">
        <v>31</v>
      </c>
      <c r="E4" s="17" t="s">
        <v>32</v>
      </c>
      <c r="F4" s="17" t="s">
        <v>33</v>
      </c>
      <c r="G4" s="185" t="s">
        <v>16</v>
      </c>
      <c r="H4" s="237" t="s">
        <v>13</v>
      </c>
      <c r="I4" s="50" t="s">
        <v>31</v>
      </c>
      <c r="J4" s="17" t="s">
        <v>32</v>
      </c>
      <c r="K4" s="17" t="s">
        <v>33</v>
      </c>
      <c r="L4" s="189" t="s">
        <v>16</v>
      </c>
      <c r="M4" s="191" t="s">
        <v>13</v>
      </c>
      <c r="N4" s="61" t="s">
        <v>31</v>
      </c>
      <c r="O4" s="62" t="s">
        <v>32</v>
      </c>
      <c r="P4" s="62" t="s">
        <v>33</v>
      </c>
      <c r="Q4" s="193" t="s">
        <v>16</v>
      </c>
      <c r="R4" s="229" t="s">
        <v>13</v>
      </c>
      <c r="S4" s="65" t="s">
        <v>31</v>
      </c>
      <c r="T4" s="66" t="s">
        <v>32</v>
      </c>
      <c r="U4" s="66" t="s">
        <v>33</v>
      </c>
      <c r="V4" s="197" t="s">
        <v>16</v>
      </c>
      <c r="W4" s="231" t="s">
        <v>13</v>
      </c>
      <c r="X4" s="226" t="s">
        <v>65</v>
      </c>
      <c r="Y4" s="228" t="s">
        <v>66</v>
      </c>
      <c r="Z4" s="219" t="s">
        <v>67</v>
      </c>
      <c r="AA4" s="215" t="s">
        <v>66</v>
      </c>
      <c r="AB4" s="219" t="s">
        <v>68</v>
      </c>
      <c r="AC4" s="215" t="s">
        <v>66</v>
      </c>
      <c r="AD4" s="219" t="s">
        <v>69</v>
      </c>
      <c r="AE4" s="215" t="s">
        <v>66</v>
      </c>
      <c r="AF4" s="219" t="s">
        <v>70</v>
      </c>
      <c r="AG4" s="215" t="s">
        <v>66</v>
      </c>
      <c r="AH4" s="215" t="s">
        <v>71</v>
      </c>
      <c r="AI4" s="217" t="s">
        <v>72</v>
      </c>
    </row>
    <row r="5" spans="2:36">
      <c r="B5" s="214"/>
      <c r="C5" s="211"/>
      <c r="D5" s="72">
        <v>4</v>
      </c>
      <c r="E5" s="59">
        <v>7</v>
      </c>
      <c r="F5" s="59">
        <v>8</v>
      </c>
      <c r="G5" s="186"/>
      <c r="H5" s="238"/>
      <c r="I5" s="51">
        <v>11</v>
      </c>
      <c r="J5" s="4">
        <v>14</v>
      </c>
      <c r="K5" s="4">
        <v>15</v>
      </c>
      <c r="L5" s="190"/>
      <c r="M5" s="192"/>
      <c r="N5" s="63">
        <v>18</v>
      </c>
      <c r="O5" s="64">
        <v>21</v>
      </c>
      <c r="P5" s="64">
        <v>22</v>
      </c>
      <c r="Q5" s="194"/>
      <c r="R5" s="230"/>
      <c r="S5" s="67">
        <v>25</v>
      </c>
      <c r="T5" s="68">
        <v>28</v>
      </c>
      <c r="U5" s="68">
        <v>29</v>
      </c>
      <c r="V5" s="198"/>
      <c r="W5" s="232"/>
      <c r="X5" s="227"/>
      <c r="Y5" s="221"/>
      <c r="Z5" s="220"/>
      <c r="AA5" s="216"/>
      <c r="AB5" s="221"/>
      <c r="AC5" s="216"/>
      <c r="AD5" s="220"/>
      <c r="AE5" s="216"/>
      <c r="AF5" s="221"/>
      <c r="AG5" s="216"/>
      <c r="AH5" s="216"/>
      <c r="AI5" s="218"/>
    </row>
    <row r="6" spans="2:36">
      <c r="B6" s="57">
        <v>2</v>
      </c>
      <c r="C6" s="74" t="s">
        <v>36</v>
      </c>
      <c r="D6" s="201" t="s">
        <v>35</v>
      </c>
      <c r="E6" s="202"/>
      <c r="F6" s="203"/>
      <c r="G6" s="3">
        <v>130</v>
      </c>
      <c r="H6" s="55">
        <v>0</v>
      </c>
      <c r="I6" s="201" t="s">
        <v>37</v>
      </c>
      <c r="J6" s="202"/>
      <c r="K6" s="203"/>
      <c r="L6" s="3">
        <v>0</v>
      </c>
      <c r="M6" s="55">
        <v>70</v>
      </c>
      <c r="N6" s="201" t="s">
        <v>37</v>
      </c>
      <c r="O6" s="202"/>
      <c r="P6" s="203"/>
      <c r="Q6" s="3">
        <v>0</v>
      </c>
      <c r="R6" s="55">
        <v>0</v>
      </c>
      <c r="S6" s="201" t="s">
        <v>37</v>
      </c>
      <c r="T6" s="202"/>
      <c r="U6" s="203"/>
      <c r="V6" s="3">
        <v>0</v>
      </c>
      <c r="W6" s="55">
        <v>0</v>
      </c>
      <c r="X6" s="122" t="s">
        <v>73</v>
      </c>
      <c r="Y6" s="123">
        <v>0</v>
      </c>
      <c r="Z6" s="123"/>
      <c r="AA6" s="126">
        <v>200</v>
      </c>
      <c r="AB6" s="123">
        <v>0</v>
      </c>
      <c r="AC6" s="126">
        <v>0</v>
      </c>
      <c r="AD6" s="123" t="s">
        <v>74</v>
      </c>
      <c r="AE6" s="126">
        <v>260</v>
      </c>
      <c r="AF6" s="123"/>
      <c r="AG6" s="126"/>
      <c r="AH6" s="126">
        <v>0</v>
      </c>
      <c r="AI6" s="129">
        <f>Y6+AA6+AC6+AE6+AH6</f>
        <v>460</v>
      </c>
    </row>
    <row r="7" spans="2:36">
      <c r="B7" s="57">
        <v>4</v>
      </c>
      <c r="C7" s="74" t="s">
        <v>39</v>
      </c>
      <c r="D7" s="201" t="s">
        <v>37</v>
      </c>
      <c r="E7" s="202"/>
      <c r="F7" s="203"/>
      <c r="G7" s="3">
        <v>0</v>
      </c>
      <c r="H7" s="55">
        <v>0</v>
      </c>
      <c r="I7" s="201" t="s">
        <v>37</v>
      </c>
      <c r="J7" s="202"/>
      <c r="K7" s="203"/>
      <c r="L7" s="3">
        <v>0</v>
      </c>
      <c r="M7" s="55">
        <v>70</v>
      </c>
      <c r="N7" s="201" t="s">
        <v>37</v>
      </c>
      <c r="O7" s="202"/>
      <c r="P7" s="203"/>
      <c r="Q7" s="3">
        <v>0</v>
      </c>
      <c r="R7" s="55">
        <v>70</v>
      </c>
      <c r="S7" s="201" t="s">
        <v>37</v>
      </c>
      <c r="T7" s="202"/>
      <c r="U7" s="203"/>
      <c r="V7" s="3"/>
      <c r="W7" s="55">
        <v>70</v>
      </c>
      <c r="X7" s="124" t="s">
        <v>73</v>
      </c>
      <c r="Y7" s="121">
        <v>0</v>
      </c>
      <c r="Z7" s="121"/>
      <c r="AA7" s="127">
        <v>2350</v>
      </c>
      <c r="AB7" s="121"/>
      <c r="AC7" s="127"/>
      <c r="AD7" s="121" t="s">
        <v>75</v>
      </c>
      <c r="AE7" s="127">
        <v>520</v>
      </c>
      <c r="AF7" s="121"/>
      <c r="AG7" s="127"/>
      <c r="AH7" s="127">
        <v>0</v>
      </c>
      <c r="AI7" s="130">
        <f t="shared" ref="AI7:AI17" si="0">Y7+AA7+AC7+AE7+AH7</f>
        <v>2870</v>
      </c>
    </row>
    <row r="8" spans="2:36">
      <c r="B8" s="57">
        <v>7</v>
      </c>
      <c r="C8" s="74" t="s">
        <v>42</v>
      </c>
      <c r="D8" s="201" t="s">
        <v>35</v>
      </c>
      <c r="E8" s="202"/>
      <c r="F8" s="203"/>
      <c r="G8" s="3">
        <v>130</v>
      </c>
      <c r="H8" s="55">
        <v>0</v>
      </c>
      <c r="I8" s="201" t="s">
        <v>35</v>
      </c>
      <c r="J8" s="202"/>
      <c r="K8" s="203"/>
      <c r="L8" s="3">
        <v>130</v>
      </c>
      <c r="M8" s="55">
        <v>0</v>
      </c>
      <c r="N8" s="201" t="s">
        <v>35</v>
      </c>
      <c r="O8" s="202"/>
      <c r="P8" s="203"/>
      <c r="Q8" s="3">
        <v>130</v>
      </c>
      <c r="R8" s="55">
        <v>70</v>
      </c>
      <c r="S8" s="201" t="s">
        <v>37</v>
      </c>
      <c r="T8" s="202"/>
      <c r="U8" s="203"/>
      <c r="V8" s="3"/>
      <c r="W8" s="55"/>
      <c r="X8" s="124" t="s">
        <v>73</v>
      </c>
      <c r="Y8" s="121">
        <v>0</v>
      </c>
      <c r="Z8" s="121" t="s">
        <v>73</v>
      </c>
      <c r="AA8" s="127">
        <v>0</v>
      </c>
      <c r="AB8" s="121" t="s">
        <v>73</v>
      </c>
      <c r="AC8" s="127">
        <v>0</v>
      </c>
      <c r="AD8" s="121" t="s">
        <v>76</v>
      </c>
      <c r="AE8" s="127">
        <v>130</v>
      </c>
      <c r="AF8" s="121" t="s">
        <v>73</v>
      </c>
      <c r="AG8" s="127">
        <v>0</v>
      </c>
      <c r="AH8" s="127">
        <v>0</v>
      </c>
      <c r="AI8" s="130">
        <f t="shared" si="0"/>
        <v>130</v>
      </c>
    </row>
    <row r="9" spans="2:36">
      <c r="B9" s="57">
        <v>8</v>
      </c>
      <c r="C9" s="74" t="s">
        <v>43</v>
      </c>
      <c r="D9" s="201" t="s">
        <v>35</v>
      </c>
      <c r="E9" s="202"/>
      <c r="F9" s="203"/>
      <c r="G9" s="3">
        <v>130</v>
      </c>
      <c r="H9" s="55">
        <v>0</v>
      </c>
      <c r="I9" s="201" t="s">
        <v>35</v>
      </c>
      <c r="J9" s="202"/>
      <c r="K9" s="203"/>
      <c r="L9" s="3">
        <v>130</v>
      </c>
      <c r="M9" s="55">
        <v>0</v>
      </c>
      <c r="N9" s="201" t="s">
        <v>35</v>
      </c>
      <c r="O9" s="202"/>
      <c r="P9" s="203"/>
      <c r="Q9" s="3">
        <v>130</v>
      </c>
      <c r="R9" s="55">
        <v>70</v>
      </c>
      <c r="S9" s="201" t="s">
        <v>35</v>
      </c>
      <c r="T9" s="202"/>
      <c r="U9" s="203"/>
      <c r="V9" s="3">
        <v>130</v>
      </c>
      <c r="W9" s="55">
        <v>0</v>
      </c>
      <c r="X9" s="144" t="s">
        <v>77</v>
      </c>
      <c r="Y9" s="145">
        <v>390</v>
      </c>
      <c r="Z9" s="146" t="s">
        <v>75</v>
      </c>
      <c r="AA9" s="145">
        <v>520</v>
      </c>
      <c r="AB9" s="146" t="s">
        <v>78</v>
      </c>
      <c r="AC9" s="145">
        <v>70</v>
      </c>
      <c r="AD9" s="146" t="s">
        <v>75</v>
      </c>
      <c r="AE9" s="145">
        <v>520</v>
      </c>
      <c r="AF9" s="146" t="s">
        <v>73</v>
      </c>
      <c r="AG9" s="145">
        <v>0</v>
      </c>
      <c r="AH9" s="145">
        <v>0</v>
      </c>
      <c r="AI9" s="147">
        <f>Y9+AA9+AC9+AE9+AH9</f>
        <v>1500</v>
      </c>
      <c r="AJ9" s="107" t="s">
        <v>35</v>
      </c>
    </row>
    <row r="10" spans="2:36">
      <c r="B10" s="57">
        <v>12</v>
      </c>
      <c r="C10" s="74" t="s">
        <v>47</v>
      </c>
      <c r="D10" s="201" t="s">
        <v>35</v>
      </c>
      <c r="E10" s="202"/>
      <c r="F10" s="203"/>
      <c r="G10" s="3">
        <v>130</v>
      </c>
      <c r="H10" s="55">
        <v>0</v>
      </c>
      <c r="I10" s="201" t="s">
        <v>35</v>
      </c>
      <c r="J10" s="202"/>
      <c r="K10" s="203"/>
      <c r="L10" s="3">
        <v>130</v>
      </c>
      <c r="M10" s="55">
        <v>0</v>
      </c>
      <c r="N10" s="201" t="s">
        <v>35</v>
      </c>
      <c r="O10" s="202"/>
      <c r="P10" s="203"/>
      <c r="Q10" s="3">
        <v>130</v>
      </c>
      <c r="R10" s="55">
        <v>0</v>
      </c>
      <c r="S10" s="201" t="s">
        <v>35</v>
      </c>
      <c r="T10" s="202"/>
      <c r="U10" s="203"/>
      <c r="V10" s="3">
        <v>130</v>
      </c>
      <c r="W10" s="55">
        <v>0</v>
      </c>
      <c r="X10" s="144" t="s">
        <v>79</v>
      </c>
      <c r="Y10" s="145">
        <v>130</v>
      </c>
      <c r="Z10" s="146" t="s">
        <v>80</v>
      </c>
      <c r="AA10" s="145">
        <v>260</v>
      </c>
      <c r="AB10" s="146" t="s">
        <v>73</v>
      </c>
      <c r="AC10" s="145">
        <v>0</v>
      </c>
      <c r="AD10" s="146" t="s">
        <v>81</v>
      </c>
      <c r="AE10" s="145">
        <v>260</v>
      </c>
      <c r="AF10" s="145" t="s">
        <v>73</v>
      </c>
      <c r="AG10" s="145">
        <v>0</v>
      </c>
      <c r="AH10" s="145">
        <v>0</v>
      </c>
      <c r="AI10" s="147">
        <f t="shared" si="0"/>
        <v>650</v>
      </c>
      <c r="AJ10" s="107" t="s">
        <v>35</v>
      </c>
    </row>
    <row r="11" spans="2:36">
      <c r="B11" s="57">
        <v>14</v>
      </c>
      <c r="C11" s="74" t="s">
        <v>49</v>
      </c>
      <c r="D11" s="201" t="s">
        <v>37</v>
      </c>
      <c r="E11" s="202"/>
      <c r="F11" s="203"/>
      <c r="G11" s="3">
        <v>0</v>
      </c>
      <c r="H11" s="55">
        <v>70</v>
      </c>
      <c r="I11" s="201" t="s">
        <v>37</v>
      </c>
      <c r="J11" s="202"/>
      <c r="K11" s="203"/>
      <c r="L11" s="3">
        <v>0</v>
      </c>
      <c r="M11" s="55">
        <v>0</v>
      </c>
      <c r="N11" s="201" t="s">
        <v>37</v>
      </c>
      <c r="O11" s="202"/>
      <c r="P11" s="203"/>
      <c r="Q11" s="3">
        <v>0</v>
      </c>
      <c r="R11" s="55">
        <v>0</v>
      </c>
      <c r="S11" s="201" t="s">
        <v>37</v>
      </c>
      <c r="T11" s="202"/>
      <c r="U11" s="203"/>
      <c r="V11" s="3"/>
      <c r="W11" s="55">
        <v>70</v>
      </c>
      <c r="X11" s="124" t="s">
        <v>73</v>
      </c>
      <c r="Y11" s="127">
        <v>0</v>
      </c>
      <c r="Z11" s="121" t="s">
        <v>73</v>
      </c>
      <c r="AA11" s="127">
        <v>0</v>
      </c>
      <c r="AB11" s="121" t="s">
        <v>73</v>
      </c>
      <c r="AC11" s="127">
        <v>0</v>
      </c>
      <c r="AD11" s="121" t="s">
        <v>75</v>
      </c>
      <c r="AE11" s="127">
        <v>520</v>
      </c>
      <c r="AF11" s="121" t="s">
        <v>73</v>
      </c>
      <c r="AG11" s="127">
        <v>0</v>
      </c>
      <c r="AH11" s="127">
        <v>730</v>
      </c>
      <c r="AI11" s="130">
        <f t="shared" si="0"/>
        <v>1250</v>
      </c>
    </row>
    <row r="12" spans="2:36">
      <c r="B12" s="57">
        <v>15</v>
      </c>
      <c r="C12" s="74" t="s">
        <v>50</v>
      </c>
      <c r="D12" s="201" t="s">
        <v>37</v>
      </c>
      <c r="E12" s="202"/>
      <c r="F12" s="203"/>
      <c r="G12" s="3">
        <v>130</v>
      </c>
      <c r="H12" s="55">
        <v>0</v>
      </c>
      <c r="I12" s="201" t="s">
        <v>37</v>
      </c>
      <c r="J12" s="202"/>
      <c r="K12" s="203"/>
      <c r="L12" s="3">
        <v>130</v>
      </c>
      <c r="M12" s="55">
        <v>0</v>
      </c>
      <c r="N12" s="201" t="s">
        <v>37</v>
      </c>
      <c r="O12" s="202"/>
      <c r="P12" s="203"/>
      <c r="Q12" s="3">
        <v>130</v>
      </c>
      <c r="R12" s="55">
        <v>0</v>
      </c>
      <c r="S12" s="201" t="s">
        <v>37</v>
      </c>
      <c r="T12" s="202"/>
      <c r="U12" s="203"/>
      <c r="V12" s="3">
        <v>130</v>
      </c>
      <c r="W12" s="55">
        <v>70</v>
      </c>
      <c r="X12" s="132" t="s">
        <v>73</v>
      </c>
      <c r="Y12" s="133">
        <v>0</v>
      </c>
      <c r="Z12" s="121" t="s">
        <v>73</v>
      </c>
      <c r="AA12" s="127">
        <v>0</v>
      </c>
      <c r="AB12" s="121" t="s">
        <v>82</v>
      </c>
      <c r="AC12" s="127">
        <v>70</v>
      </c>
      <c r="AD12" s="146" t="s">
        <v>75</v>
      </c>
      <c r="AE12" s="145">
        <v>520</v>
      </c>
      <c r="AF12" s="146" t="s">
        <v>73</v>
      </c>
      <c r="AG12" s="127">
        <v>0</v>
      </c>
      <c r="AH12" s="127">
        <v>300</v>
      </c>
      <c r="AI12" s="130">
        <f t="shared" si="0"/>
        <v>890</v>
      </c>
    </row>
    <row r="13" spans="2:36">
      <c r="B13" s="57">
        <v>17</v>
      </c>
      <c r="C13" s="74" t="s">
        <v>52</v>
      </c>
      <c r="D13" s="201" t="s">
        <v>37</v>
      </c>
      <c r="E13" s="202"/>
      <c r="F13" s="203"/>
      <c r="G13" s="3">
        <v>0</v>
      </c>
      <c r="H13" s="55">
        <v>70</v>
      </c>
      <c r="I13" s="201" t="s">
        <v>37</v>
      </c>
      <c r="J13" s="202"/>
      <c r="K13" s="203"/>
      <c r="L13" s="3">
        <v>0</v>
      </c>
      <c r="M13" s="55">
        <v>70</v>
      </c>
      <c r="N13" s="201" t="s">
        <v>37</v>
      </c>
      <c r="O13" s="202"/>
      <c r="P13" s="203"/>
      <c r="Q13" s="3">
        <v>0</v>
      </c>
      <c r="R13" s="55">
        <v>70</v>
      </c>
      <c r="S13" s="201" t="s">
        <v>37</v>
      </c>
      <c r="T13" s="202"/>
      <c r="U13" s="203"/>
      <c r="V13" s="3"/>
      <c r="W13" s="55">
        <v>70</v>
      </c>
      <c r="X13" s="124" t="s">
        <v>73</v>
      </c>
      <c r="Y13" s="133">
        <v>0</v>
      </c>
      <c r="Z13" s="121" t="s">
        <v>73</v>
      </c>
      <c r="AA13" s="127">
        <v>0</v>
      </c>
      <c r="AB13" s="121" t="s">
        <v>73</v>
      </c>
      <c r="AC13" s="127">
        <v>0</v>
      </c>
      <c r="AD13" s="121" t="s">
        <v>73</v>
      </c>
      <c r="AE13" s="127">
        <v>0</v>
      </c>
      <c r="AF13" s="121" t="s">
        <v>73</v>
      </c>
      <c r="AG13" s="127">
        <v>0</v>
      </c>
      <c r="AH13" s="127">
        <v>0</v>
      </c>
      <c r="AI13" s="130">
        <f t="shared" si="0"/>
        <v>0</v>
      </c>
    </row>
    <row r="14" spans="2:36">
      <c r="B14" s="57">
        <v>20</v>
      </c>
      <c r="C14" s="74" t="s">
        <v>56</v>
      </c>
      <c r="D14" s="201" t="s">
        <v>35</v>
      </c>
      <c r="E14" s="202"/>
      <c r="F14" s="203"/>
      <c r="G14" s="3">
        <v>130</v>
      </c>
      <c r="H14" s="55">
        <v>0</v>
      </c>
      <c r="I14" s="201" t="s">
        <v>37</v>
      </c>
      <c r="J14" s="202"/>
      <c r="K14" s="203"/>
      <c r="L14" s="3">
        <v>0</v>
      </c>
      <c r="M14" s="55">
        <v>70</v>
      </c>
      <c r="N14" s="201" t="s">
        <v>35</v>
      </c>
      <c r="O14" s="202"/>
      <c r="P14" s="203"/>
      <c r="Q14" s="3">
        <v>130</v>
      </c>
      <c r="R14" s="55">
        <v>70</v>
      </c>
      <c r="S14" s="201" t="s">
        <v>37</v>
      </c>
      <c r="T14" s="202"/>
      <c r="U14" s="203"/>
      <c r="V14" s="3"/>
      <c r="W14" s="55"/>
      <c r="X14" s="132" t="s">
        <v>83</v>
      </c>
      <c r="Y14" s="133">
        <v>200</v>
      </c>
      <c r="Z14" s="121" t="s">
        <v>73</v>
      </c>
      <c r="AA14" s="127">
        <v>0</v>
      </c>
      <c r="AB14" s="121" t="s">
        <v>73</v>
      </c>
      <c r="AC14" s="127">
        <v>0</v>
      </c>
      <c r="AD14" s="121" t="s">
        <v>84</v>
      </c>
      <c r="AE14" s="127">
        <v>130</v>
      </c>
      <c r="AF14" s="121" t="s">
        <v>73</v>
      </c>
      <c r="AG14" s="127">
        <v>0</v>
      </c>
      <c r="AH14" s="127">
        <v>0</v>
      </c>
      <c r="AI14" s="130">
        <f t="shared" si="0"/>
        <v>330</v>
      </c>
    </row>
    <row r="15" spans="2:36">
      <c r="B15" s="57">
        <v>23</v>
      </c>
      <c r="C15" s="74" t="s">
        <v>59</v>
      </c>
      <c r="D15" s="201" t="s">
        <v>35</v>
      </c>
      <c r="E15" s="202"/>
      <c r="F15" s="203"/>
      <c r="G15" s="3">
        <v>65</v>
      </c>
      <c r="H15" s="55">
        <v>70</v>
      </c>
      <c r="I15" s="201" t="s">
        <v>35</v>
      </c>
      <c r="J15" s="202"/>
      <c r="K15" s="203"/>
      <c r="L15" s="3">
        <v>65</v>
      </c>
      <c r="M15" s="55">
        <v>0</v>
      </c>
      <c r="N15" s="201" t="s">
        <v>37</v>
      </c>
      <c r="O15" s="202"/>
      <c r="P15" s="203"/>
      <c r="Q15" s="3">
        <v>0</v>
      </c>
      <c r="R15" s="55">
        <v>70</v>
      </c>
      <c r="S15" s="201" t="s">
        <v>37</v>
      </c>
      <c r="T15" s="202"/>
      <c r="U15" s="203"/>
      <c r="V15" s="3"/>
      <c r="W15" s="55">
        <v>70</v>
      </c>
      <c r="X15" s="132" t="s">
        <v>73</v>
      </c>
      <c r="Y15" s="133">
        <v>0</v>
      </c>
      <c r="Z15" s="121" t="s">
        <v>73</v>
      </c>
      <c r="AA15" s="127">
        <v>0</v>
      </c>
      <c r="AB15" s="121" t="s">
        <v>73</v>
      </c>
      <c r="AC15" s="127">
        <v>0</v>
      </c>
      <c r="AD15" s="127" t="s">
        <v>83</v>
      </c>
      <c r="AE15" s="127">
        <v>130</v>
      </c>
      <c r="AF15" s="127" t="s">
        <v>73</v>
      </c>
      <c r="AG15" s="127">
        <v>0</v>
      </c>
      <c r="AH15" s="127">
        <v>500</v>
      </c>
      <c r="AI15" s="130">
        <f t="shared" si="0"/>
        <v>630</v>
      </c>
    </row>
    <row r="16" spans="2:36">
      <c r="B16" s="71">
        <v>25</v>
      </c>
      <c r="C16" s="74" t="s">
        <v>62</v>
      </c>
      <c r="D16" s="201" t="s">
        <v>35</v>
      </c>
      <c r="E16" s="202"/>
      <c r="F16" s="203"/>
      <c r="G16" s="3">
        <v>130</v>
      </c>
      <c r="H16" s="55">
        <v>70</v>
      </c>
      <c r="I16" s="201" t="s">
        <v>35</v>
      </c>
      <c r="J16" s="202"/>
      <c r="K16" s="203"/>
      <c r="L16" s="3">
        <v>130</v>
      </c>
      <c r="M16" s="55">
        <v>0</v>
      </c>
      <c r="N16" s="201" t="s">
        <v>35</v>
      </c>
      <c r="O16" s="202"/>
      <c r="P16" s="203"/>
      <c r="Q16" s="3">
        <v>130</v>
      </c>
      <c r="R16" s="55">
        <v>70</v>
      </c>
      <c r="S16" s="201" t="s">
        <v>35</v>
      </c>
      <c r="T16" s="202"/>
      <c r="U16" s="203"/>
      <c r="V16" s="3">
        <v>130</v>
      </c>
      <c r="W16" s="55">
        <v>70</v>
      </c>
      <c r="X16" s="144" t="s">
        <v>73</v>
      </c>
      <c r="Y16" s="150">
        <v>0</v>
      </c>
      <c r="Z16" s="146" t="s">
        <v>73</v>
      </c>
      <c r="AA16" s="145">
        <v>0</v>
      </c>
      <c r="AB16" s="146" t="s">
        <v>73</v>
      </c>
      <c r="AC16" s="145">
        <v>0</v>
      </c>
      <c r="AD16" s="146" t="s">
        <v>76</v>
      </c>
      <c r="AE16" s="145">
        <v>130</v>
      </c>
      <c r="AF16" s="146" t="s">
        <v>82</v>
      </c>
      <c r="AG16" s="145">
        <v>70</v>
      </c>
      <c r="AH16" s="145">
        <v>0</v>
      </c>
      <c r="AI16" s="147">
        <f>Y16+AA16+AC16+AE16+AG16</f>
        <v>200</v>
      </c>
      <c r="AJ16" s="107" t="s">
        <v>35</v>
      </c>
    </row>
    <row r="17" spans="2:36" ht="15" customHeight="1">
      <c r="B17" s="58">
        <v>26</v>
      </c>
      <c r="C17" s="75" t="s">
        <v>63</v>
      </c>
      <c r="D17" s="204" t="s">
        <v>37</v>
      </c>
      <c r="E17" s="205"/>
      <c r="F17" s="206"/>
      <c r="G17" s="53">
        <v>0</v>
      </c>
      <c r="H17" s="56">
        <v>70</v>
      </c>
      <c r="I17" s="204" t="s">
        <v>37</v>
      </c>
      <c r="J17" s="205"/>
      <c r="K17" s="206"/>
      <c r="L17" s="53">
        <v>0</v>
      </c>
      <c r="M17" s="56">
        <v>70</v>
      </c>
      <c r="N17" s="204" t="s">
        <v>37</v>
      </c>
      <c r="O17" s="205"/>
      <c r="P17" s="206"/>
      <c r="Q17" s="53">
        <v>0</v>
      </c>
      <c r="R17" s="56">
        <v>70</v>
      </c>
      <c r="S17" s="204" t="s">
        <v>37</v>
      </c>
      <c r="T17" s="205"/>
      <c r="U17" s="206"/>
      <c r="V17" s="53"/>
      <c r="W17" s="56"/>
      <c r="X17" s="134" t="s">
        <v>73</v>
      </c>
      <c r="Y17" s="135">
        <v>0</v>
      </c>
      <c r="Z17" s="125"/>
      <c r="AA17" s="128"/>
      <c r="AB17" s="125"/>
      <c r="AC17" s="128"/>
      <c r="AD17" s="125"/>
      <c r="AE17" s="128"/>
      <c r="AF17" s="128"/>
      <c r="AG17" s="128"/>
      <c r="AH17" s="128"/>
      <c r="AI17" s="131">
        <v>2500</v>
      </c>
      <c r="AJ17" s="137" t="s">
        <v>85</v>
      </c>
    </row>
    <row r="18" spans="2:36">
      <c r="U18" s="47"/>
    </row>
    <row r="20" spans="2:36">
      <c r="C20" s="1" t="s">
        <v>86</v>
      </c>
      <c r="D20" s="1" t="s">
        <v>87</v>
      </c>
      <c r="E20" s="1" t="s">
        <v>88</v>
      </c>
    </row>
    <row r="21" spans="2:36">
      <c r="C21" t="s">
        <v>89</v>
      </c>
      <c r="D21" s="38">
        <v>45747</v>
      </c>
      <c r="E21" s="37">
        <v>650</v>
      </c>
      <c r="U21" s="2"/>
    </row>
    <row r="22" spans="2:36">
      <c r="C22" t="s">
        <v>90</v>
      </c>
      <c r="D22" s="38">
        <v>45748</v>
      </c>
      <c r="E22" s="37">
        <v>200</v>
      </c>
    </row>
    <row r="23" spans="2:36">
      <c r="C23" t="s">
        <v>91</v>
      </c>
      <c r="D23" s="38">
        <v>45748</v>
      </c>
      <c r="E23" s="37">
        <v>520</v>
      </c>
    </row>
    <row r="24" spans="2:36">
      <c r="C24" t="s">
        <v>92</v>
      </c>
      <c r="D24" s="38">
        <v>45751</v>
      </c>
      <c r="E24" s="37">
        <v>700</v>
      </c>
    </row>
    <row r="25" spans="2:36">
      <c r="C25" t="s">
        <v>93</v>
      </c>
      <c r="D25" s="38">
        <v>45751</v>
      </c>
      <c r="E25" s="45">
        <v>1500</v>
      </c>
    </row>
    <row r="26" spans="2:36">
      <c r="D26" s="38"/>
      <c r="E26" s="37">
        <v>0</v>
      </c>
    </row>
    <row r="27" spans="2:36">
      <c r="D27" s="38"/>
      <c r="E27" s="37">
        <v>0</v>
      </c>
    </row>
    <row r="28" spans="2:36">
      <c r="D28" s="38"/>
      <c r="E28" s="37">
        <v>0</v>
      </c>
    </row>
    <row r="29" spans="2:36">
      <c r="D29" s="38"/>
      <c r="E29" s="37">
        <v>0</v>
      </c>
    </row>
    <row r="30" spans="2:36">
      <c r="D30" s="38"/>
      <c r="E30" s="37">
        <v>0</v>
      </c>
    </row>
    <row r="31" spans="2:36">
      <c r="D31" s="38"/>
      <c r="E31" s="37">
        <v>0</v>
      </c>
    </row>
    <row r="32" spans="2:36">
      <c r="D32" s="38"/>
      <c r="E32" s="37">
        <v>0</v>
      </c>
    </row>
    <row r="33" spans="3:5">
      <c r="D33" s="38"/>
      <c r="E33" s="37">
        <v>0</v>
      </c>
    </row>
    <row r="34" spans="3:5">
      <c r="D34" s="38"/>
      <c r="E34" s="37">
        <v>0</v>
      </c>
    </row>
    <row r="35" spans="3:5">
      <c r="D35" s="38"/>
      <c r="E35" s="37">
        <v>0</v>
      </c>
    </row>
    <row r="36" spans="3:5">
      <c r="D36" s="38"/>
      <c r="E36" s="37">
        <v>0</v>
      </c>
    </row>
    <row r="37" spans="3:5">
      <c r="D37" s="38"/>
      <c r="E37" s="37">
        <v>0</v>
      </c>
    </row>
    <row r="38" spans="3:5">
      <c r="E38" s="37">
        <v>0</v>
      </c>
    </row>
    <row r="39" spans="3:5">
      <c r="E39" s="37">
        <v>0</v>
      </c>
    </row>
    <row r="40" spans="3:5">
      <c r="C40" s="167" t="s">
        <v>94</v>
      </c>
      <c r="D40" s="167"/>
      <c r="E40" s="37">
        <f>SUM(E21:E39)</f>
        <v>3570</v>
      </c>
    </row>
  </sheetData>
  <mergeCells count="77">
    <mergeCell ref="B4:B5"/>
    <mergeCell ref="C4:C5"/>
    <mergeCell ref="G4:G5"/>
    <mergeCell ref="H4:H5"/>
    <mergeCell ref="L4:L5"/>
    <mergeCell ref="V4:V5"/>
    <mergeCell ref="W4:W5"/>
    <mergeCell ref="D2:W2"/>
    <mergeCell ref="D3:H3"/>
    <mergeCell ref="I3:M3"/>
    <mergeCell ref="N3:R3"/>
    <mergeCell ref="S3:W3"/>
    <mergeCell ref="D6:F6"/>
    <mergeCell ref="I6:K6"/>
    <mergeCell ref="N6:P6"/>
    <mergeCell ref="S6:U6"/>
    <mergeCell ref="M4:M5"/>
    <mergeCell ref="Q4:Q5"/>
    <mergeCell ref="R4:R5"/>
    <mergeCell ref="D8:F8"/>
    <mergeCell ref="I8:K8"/>
    <mergeCell ref="N8:P8"/>
    <mergeCell ref="S8:U8"/>
    <mergeCell ref="D7:F7"/>
    <mergeCell ref="I7:K7"/>
    <mergeCell ref="N7:P7"/>
    <mergeCell ref="S7:U7"/>
    <mergeCell ref="D10:F10"/>
    <mergeCell ref="I10:K10"/>
    <mergeCell ref="N10:P10"/>
    <mergeCell ref="S10:U10"/>
    <mergeCell ref="D9:F9"/>
    <mergeCell ref="I9:K9"/>
    <mergeCell ref="N9:P9"/>
    <mergeCell ref="S9:U9"/>
    <mergeCell ref="D13:F13"/>
    <mergeCell ref="I13:K13"/>
    <mergeCell ref="N13:P13"/>
    <mergeCell ref="S13:U13"/>
    <mergeCell ref="D11:F11"/>
    <mergeCell ref="I11:K11"/>
    <mergeCell ref="N11:P11"/>
    <mergeCell ref="S11:U11"/>
    <mergeCell ref="D12:F12"/>
    <mergeCell ref="I12:K12"/>
    <mergeCell ref="N12:P12"/>
    <mergeCell ref="S12:U12"/>
    <mergeCell ref="D15:F15"/>
    <mergeCell ref="I15:K15"/>
    <mergeCell ref="N15:P15"/>
    <mergeCell ref="S15:U15"/>
    <mergeCell ref="D14:F14"/>
    <mergeCell ref="I14:K14"/>
    <mergeCell ref="N14:P14"/>
    <mergeCell ref="S14:U14"/>
    <mergeCell ref="X2:AI3"/>
    <mergeCell ref="X4:X5"/>
    <mergeCell ref="Y4:Y5"/>
    <mergeCell ref="Z4:Z5"/>
    <mergeCell ref="AA4:AA5"/>
    <mergeCell ref="AB4:AB5"/>
    <mergeCell ref="C40:D40"/>
    <mergeCell ref="AC4:AC5"/>
    <mergeCell ref="AH4:AH5"/>
    <mergeCell ref="AI4:AI5"/>
    <mergeCell ref="AE4:AE5"/>
    <mergeCell ref="AD4:AD5"/>
    <mergeCell ref="AF4:AF5"/>
    <mergeCell ref="AG4:AG5"/>
    <mergeCell ref="D17:F17"/>
    <mergeCell ref="I17:K17"/>
    <mergeCell ref="N17:P17"/>
    <mergeCell ref="S17:U17"/>
    <mergeCell ref="D16:F16"/>
    <mergeCell ref="I16:K16"/>
    <mergeCell ref="N16:P16"/>
    <mergeCell ref="S16:U16"/>
  </mergeCells>
  <conditionalFormatting sqref="D6:D7 G6:I7 L6:N7 Q6:S7 S8 V6:W17 Q9:S17 L9:N17 G9:I17 D9:D17 X15:Y15 X17:Y17">
    <cfRule type="containsText" dxfId="11" priority="13" operator="containsText" text="PENDIENTE">
      <formula>NOT(ISERROR(SEARCH("PENDIENTE",D6)))</formula>
    </cfRule>
    <cfRule type="containsText" dxfId="10" priority="14" operator="containsText" text="PAGADO">
      <formula>NOT(ISERROR(SEARCH("PAGADO",D6)))</formula>
    </cfRule>
  </conditionalFormatting>
  <conditionalFormatting sqref="D8 G8:I8 L8:N8 Q8:R8">
    <cfRule type="containsText" dxfId="9" priority="11" operator="containsText" text="PENDIENTE">
      <formula>NOT(ISERROR(SEARCH("PENDIENTE",D8)))</formula>
    </cfRule>
    <cfRule type="containsText" dxfId="8" priority="12" operator="containsText" text="PAGADO">
      <formula>NOT(ISERROR(SEARCH("PAGADO",D8)))</formula>
    </cfRule>
  </conditionalFormatting>
  <conditionalFormatting sqref="X12:Y12">
    <cfRule type="containsText" dxfId="7" priority="9" operator="containsText" text="PENDIENTE">
      <formula>NOT(ISERROR(SEARCH("PENDIENTE",X12)))</formula>
    </cfRule>
    <cfRule type="containsText" dxfId="6" priority="10" operator="containsText" text="PAGADO">
      <formula>NOT(ISERROR(SEARCH("PAGADO",X12)))</formula>
    </cfRule>
  </conditionalFormatting>
  <conditionalFormatting sqref="X14:Y14">
    <cfRule type="containsText" dxfId="5" priority="7" operator="containsText" text="PENDIENTE">
      <formula>NOT(ISERROR(SEARCH("PENDIENTE",X14)))</formula>
    </cfRule>
    <cfRule type="containsText" dxfId="4" priority="8" operator="containsText" text="PAGADO">
      <formula>NOT(ISERROR(SEARCH("PAGADO",X14)))</formula>
    </cfRule>
  </conditionalFormatting>
  <conditionalFormatting sqref="Y13">
    <cfRule type="containsText" dxfId="3" priority="3" operator="containsText" text="PENDIENTE">
      <formula>NOT(ISERROR(SEARCH("PENDIENTE",Y13)))</formula>
    </cfRule>
    <cfRule type="containsText" dxfId="2" priority="4" operator="containsText" text="PAGADO">
      <formula>NOT(ISERROR(SEARCH("PAGADO",Y13)))</formula>
    </cfRule>
  </conditionalFormatting>
  <conditionalFormatting sqref="Y16">
    <cfRule type="containsText" dxfId="1" priority="1" operator="containsText" text="PENDIENTE">
      <formula>NOT(ISERROR(SEARCH("PENDIENTE",Y16)))</formula>
    </cfRule>
    <cfRule type="containsText" dxfId="0" priority="2" operator="containsText" text="PAGADO">
      <formula>NOT(ISERROR(SEARCH("PAGADO",Y16)))</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BBA9-C77F-429F-9491-C1D568CED936}">
  <dimension ref="A1:R38"/>
  <sheetViews>
    <sheetView zoomScaleNormal="100" workbookViewId="0">
      <selection activeCell="H45" sqref="H45"/>
    </sheetView>
  </sheetViews>
  <sheetFormatPr defaultColWidth="11.42578125" defaultRowHeight="15"/>
  <sheetData>
    <row r="1" spans="1:17">
      <c r="A1" s="14"/>
      <c r="B1" s="14"/>
      <c r="C1" s="14"/>
      <c r="D1" s="14"/>
      <c r="E1" s="14"/>
      <c r="F1" s="14"/>
      <c r="G1" s="14"/>
      <c r="H1" s="14"/>
      <c r="I1" s="14"/>
      <c r="J1" s="14"/>
      <c r="K1" s="14"/>
      <c r="L1" s="14"/>
      <c r="M1" s="14"/>
      <c r="N1" s="14"/>
      <c r="O1" s="14"/>
      <c r="P1" s="14"/>
      <c r="Q1" s="14"/>
    </row>
    <row r="2" spans="1:17" ht="26.25">
      <c r="A2" s="14"/>
      <c r="B2" s="249" t="s">
        <v>95</v>
      </c>
      <c r="C2" s="249"/>
      <c r="D2" s="249"/>
      <c r="E2" s="249"/>
      <c r="F2" s="249"/>
      <c r="G2" s="249"/>
      <c r="H2" s="249"/>
      <c r="I2" s="249"/>
      <c r="J2" s="249"/>
      <c r="K2" s="249"/>
      <c r="L2" s="249"/>
      <c r="M2" s="249"/>
      <c r="N2" s="249"/>
      <c r="O2" s="249"/>
      <c r="P2" s="249"/>
      <c r="Q2" s="14"/>
    </row>
    <row r="3" spans="1:17">
      <c r="A3" s="14"/>
      <c r="B3" s="14"/>
      <c r="C3" s="14"/>
      <c r="D3" s="14"/>
      <c r="E3" s="14"/>
      <c r="F3" s="14"/>
      <c r="G3" s="14"/>
      <c r="H3" s="14"/>
      <c r="I3" s="14"/>
      <c r="J3" s="14"/>
      <c r="K3" s="14"/>
      <c r="L3" s="14"/>
      <c r="M3" s="14"/>
      <c r="N3" s="14"/>
      <c r="O3" s="14"/>
      <c r="P3" s="14"/>
      <c r="Q3" s="14"/>
    </row>
    <row r="4" spans="1:17">
      <c r="A4" s="14"/>
      <c r="B4" s="250" t="s">
        <v>96</v>
      </c>
      <c r="C4" s="250"/>
      <c r="D4" s="250"/>
      <c r="E4" s="250"/>
      <c r="F4" s="250"/>
      <c r="G4" s="15"/>
      <c r="H4" s="15"/>
      <c r="I4" s="15"/>
      <c r="J4" s="15"/>
      <c r="K4" s="15"/>
      <c r="L4" s="15"/>
      <c r="M4" s="15"/>
      <c r="N4" s="15"/>
      <c r="O4" s="15"/>
      <c r="P4" s="15"/>
      <c r="Q4" s="14"/>
    </row>
    <row r="5" spans="1:17">
      <c r="A5" s="14"/>
      <c r="B5" s="6" t="s">
        <v>32</v>
      </c>
      <c r="C5" s="6" t="s">
        <v>33</v>
      </c>
      <c r="D5" s="6" t="s">
        <v>31</v>
      </c>
      <c r="E5" s="6" t="s">
        <v>32</v>
      </c>
      <c r="F5" s="6" t="s">
        <v>33</v>
      </c>
      <c r="G5" s="15"/>
      <c r="H5" s="15"/>
      <c r="I5" s="15"/>
      <c r="J5" s="15"/>
      <c r="K5" s="15"/>
      <c r="L5" s="15"/>
      <c r="M5" s="15"/>
      <c r="N5" s="15"/>
      <c r="O5" s="15"/>
      <c r="P5" s="15"/>
      <c r="Q5" s="14"/>
    </row>
    <row r="6" spans="1:17">
      <c r="A6" s="14"/>
      <c r="B6" s="7">
        <v>20</v>
      </c>
      <c r="C6" s="7">
        <v>21</v>
      </c>
      <c r="D6" s="7">
        <v>24</v>
      </c>
      <c r="E6" s="7">
        <v>27</v>
      </c>
      <c r="F6" s="7">
        <v>28</v>
      </c>
      <c r="G6" s="15"/>
      <c r="H6" s="15"/>
      <c r="I6" s="15"/>
      <c r="J6" s="15"/>
      <c r="K6" s="15"/>
      <c r="L6" s="15"/>
      <c r="M6" s="15"/>
      <c r="N6" s="15"/>
      <c r="O6" s="15"/>
      <c r="P6" s="15"/>
      <c r="Q6" s="14"/>
    </row>
    <row r="7" spans="1:17">
      <c r="A7" s="14"/>
      <c r="B7" s="251" t="s">
        <v>97</v>
      </c>
      <c r="C7" s="251"/>
      <c r="D7" s="251"/>
      <c r="E7" s="251"/>
      <c r="F7" s="251"/>
      <c r="G7" s="251"/>
      <c r="H7" s="251"/>
      <c r="I7" s="251"/>
      <c r="J7" s="251"/>
      <c r="K7" s="251"/>
      <c r="L7" s="251"/>
      <c r="M7" s="251"/>
      <c r="N7" s="15"/>
      <c r="O7" s="15"/>
      <c r="P7" s="15"/>
      <c r="Q7" s="14"/>
    </row>
    <row r="8" spans="1:17">
      <c r="A8" s="14"/>
      <c r="B8" s="8" t="s">
        <v>31</v>
      </c>
      <c r="C8" s="8" t="s">
        <v>32</v>
      </c>
      <c r="D8" s="8" t="s">
        <v>33</v>
      </c>
      <c r="E8" s="8" t="s">
        <v>31</v>
      </c>
      <c r="F8" s="8" t="s">
        <v>32</v>
      </c>
      <c r="G8" s="8" t="s">
        <v>33</v>
      </c>
      <c r="H8" s="8" t="s">
        <v>31</v>
      </c>
      <c r="I8" s="8" t="s">
        <v>32</v>
      </c>
      <c r="J8" s="8" t="s">
        <v>33</v>
      </c>
      <c r="K8" s="8" t="s">
        <v>31</v>
      </c>
      <c r="L8" s="8" t="s">
        <v>32</v>
      </c>
      <c r="M8" s="8" t="s">
        <v>33</v>
      </c>
      <c r="N8" s="15"/>
      <c r="O8" s="15"/>
      <c r="P8" s="15"/>
      <c r="Q8" s="14"/>
    </row>
    <row r="9" spans="1:17">
      <c r="A9" s="14"/>
      <c r="B9" s="9">
        <v>1</v>
      </c>
      <c r="C9" s="9">
        <v>4</v>
      </c>
      <c r="D9" s="9">
        <v>5</v>
      </c>
      <c r="E9" s="9">
        <v>8</v>
      </c>
      <c r="F9" s="9">
        <v>11</v>
      </c>
      <c r="G9" s="9">
        <v>12</v>
      </c>
      <c r="H9" s="9">
        <v>15</v>
      </c>
      <c r="I9" s="9">
        <v>18</v>
      </c>
      <c r="J9" s="9">
        <v>19</v>
      </c>
      <c r="K9" s="9">
        <v>22</v>
      </c>
      <c r="L9" s="9">
        <v>25</v>
      </c>
      <c r="M9" s="21">
        <v>26</v>
      </c>
      <c r="N9" s="15"/>
      <c r="O9" s="15"/>
      <c r="P9" s="15"/>
      <c r="Q9" s="14"/>
    </row>
    <row r="10" spans="1:17">
      <c r="A10" s="14"/>
      <c r="B10" s="243" t="s">
        <v>98</v>
      </c>
      <c r="C10" s="244"/>
      <c r="D10" s="21" t="s">
        <v>99</v>
      </c>
      <c r="E10" s="243" t="s">
        <v>98</v>
      </c>
      <c r="F10" s="244"/>
      <c r="G10" s="22" t="s">
        <v>100</v>
      </c>
      <c r="H10" s="243" t="s">
        <v>98</v>
      </c>
      <c r="I10" s="244"/>
      <c r="J10" s="22" t="s">
        <v>101</v>
      </c>
      <c r="K10" s="243" t="s">
        <v>98</v>
      </c>
      <c r="L10" s="245"/>
      <c r="M10" s="23" t="s">
        <v>102</v>
      </c>
      <c r="N10" s="15"/>
      <c r="O10" s="15"/>
      <c r="P10" s="15"/>
      <c r="Q10" s="14"/>
    </row>
    <row r="11" spans="1:17">
      <c r="A11" s="14"/>
      <c r="B11" s="254" t="s">
        <v>103</v>
      </c>
      <c r="C11" s="254"/>
      <c r="D11" s="254"/>
      <c r="E11" s="254"/>
      <c r="F11" s="254"/>
      <c r="G11" s="254"/>
      <c r="H11" s="254"/>
      <c r="I11" s="254"/>
      <c r="J11" s="254"/>
      <c r="K11" s="254"/>
      <c r="L11" s="254"/>
      <c r="M11" s="255"/>
      <c r="N11" s="254"/>
      <c r="O11" s="254"/>
      <c r="P11" s="254"/>
      <c r="Q11" s="14"/>
    </row>
    <row r="12" spans="1:17">
      <c r="A12" s="14"/>
      <c r="B12" s="10" t="s">
        <v>31</v>
      </c>
      <c r="C12" s="10" t="s">
        <v>32</v>
      </c>
      <c r="D12" s="10" t="s">
        <v>33</v>
      </c>
      <c r="E12" s="10" t="s">
        <v>31</v>
      </c>
      <c r="F12" s="10" t="s">
        <v>32</v>
      </c>
      <c r="G12" s="10" t="s">
        <v>33</v>
      </c>
      <c r="H12" s="10" t="s">
        <v>31</v>
      </c>
      <c r="I12" s="10" t="s">
        <v>32</v>
      </c>
      <c r="J12" s="10" t="s">
        <v>33</v>
      </c>
      <c r="K12" s="10" t="s">
        <v>31</v>
      </c>
      <c r="L12" s="10" t="s">
        <v>32</v>
      </c>
      <c r="M12" s="10" t="s">
        <v>33</v>
      </c>
      <c r="N12" s="10" t="s">
        <v>31</v>
      </c>
      <c r="O12" s="10" t="s">
        <v>32</v>
      </c>
      <c r="P12" s="10" t="s">
        <v>33</v>
      </c>
      <c r="Q12" s="14"/>
    </row>
    <row r="13" spans="1:17">
      <c r="A13" s="14"/>
      <c r="B13" s="11">
        <v>29</v>
      </c>
      <c r="C13" s="11">
        <v>1</v>
      </c>
      <c r="D13" s="11">
        <v>2</v>
      </c>
      <c r="E13" s="11">
        <v>5</v>
      </c>
      <c r="F13" s="11">
        <v>8</v>
      </c>
      <c r="G13" s="11">
        <v>9</v>
      </c>
      <c r="H13" s="11">
        <v>12</v>
      </c>
      <c r="I13" s="11">
        <v>15</v>
      </c>
      <c r="J13" s="11">
        <v>16</v>
      </c>
      <c r="K13" s="11">
        <v>19</v>
      </c>
      <c r="L13" s="11">
        <v>22</v>
      </c>
      <c r="M13" s="11">
        <v>23</v>
      </c>
      <c r="N13" s="11">
        <v>26</v>
      </c>
      <c r="O13" s="11">
        <v>29</v>
      </c>
      <c r="P13" s="11">
        <v>30</v>
      </c>
      <c r="Q13" s="14"/>
    </row>
    <row r="14" spans="1:17">
      <c r="A14" s="14"/>
      <c r="B14" s="252" t="s">
        <v>98</v>
      </c>
      <c r="C14" s="253"/>
      <c r="D14" s="11" t="s">
        <v>104</v>
      </c>
      <c r="E14" s="252" t="s">
        <v>98</v>
      </c>
      <c r="F14" s="253"/>
      <c r="G14" s="11" t="s">
        <v>105</v>
      </c>
      <c r="H14" s="252" t="s">
        <v>98</v>
      </c>
      <c r="I14" s="253"/>
      <c r="J14" s="11" t="s">
        <v>106</v>
      </c>
      <c r="K14" s="252" t="s">
        <v>98</v>
      </c>
      <c r="L14" s="253"/>
      <c r="M14" s="11" t="s">
        <v>107</v>
      </c>
      <c r="N14" s="252" t="s">
        <v>98</v>
      </c>
      <c r="O14" s="253"/>
      <c r="P14" s="11" t="s">
        <v>108</v>
      </c>
      <c r="Q14" s="14"/>
    </row>
    <row r="15" spans="1:17">
      <c r="A15" s="14"/>
      <c r="B15" s="239" t="s">
        <v>109</v>
      </c>
      <c r="C15" s="240"/>
      <c r="D15" s="240"/>
      <c r="E15" s="240"/>
      <c r="F15" s="240"/>
      <c r="G15" s="240"/>
      <c r="H15" s="240"/>
      <c r="I15" s="240"/>
      <c r="J15" s="240"/>
      <c r="K15" s="240"/>
      <c r="L15" s="240"/>
      <c r="M15" s="240"/>
      <c r="N15" s="240"/>
      <c r="O15" s="240"/>
      <c r="P15" s="240"/>
      <c r="Q15" s="14"/>
    </row>
    <row r="16" spans="1:17">
      <c r="A16" s="14"/>
      <c r="B16" s="12" t="s">
        <v>31</v>
      </c>
      <c r="C16" s="12" t="s">
        <v>32</v>
      </c>
      <c r="D16" s="12" t="s">
        <v>33</v>
      </c>
      <c r="E16" s="12" t="s">
        <v>31</v>
      </c>
      <c r="F16" s="12" t="s">
        <v>32</v>
      </c>
      <c r="G16" s="12" t="s">
        <v>33</v>
      </c>
      <c r="H16" s="12" t="s">
        <v>31</v>
      </c>
      <c r="I16" s="12" t="s">
        <v>32</v>
      </c>
      <c r="J16" s="12" t="s">
        <v>33</v>
      </c>
      <c r="K16" s="12" t="s">
        <v>31</v>
      </c>
      <c r="L16" s="12" t="s">
        <v>32</v>
      </c>
      <c r="M16" s="12" t="s">
        <v>33</v>
      </c>
      <c r="N16" s="31" t="s">
        <v>31</v>
      </c>
      <c r="O16" s="31" t="s">
        <v>32</v>
      </c>
      <c r="P16" s="31" t="s">
        <v>33</v>
      </c>
      <c r="Q16" s="14"/>
    </row>
    <row r="17" spans="1:18">
      <c r="A17" s="14"/>
      <c r="B17" s="13">
        <v>3</v>
      </c>
      <c r="C17" s="13">
        <v>6</v>
      </c>
      <c r="D17" s="13">
        <v>7</v>
      </c>
      <c r="E17" s="13">
        <v>10</v>
      </c>
      <c r="F17" s="13">
        <v>13</v>
      </c>
      <c r="G17" s="13">
        <v>14</v>
      </c>
      <c r="H17" s="13">
        <v>17</v>
      </c>
      <c r="I17" s="13">
        <v>20</v>
      </c>
      <c r="J17" s="13">
        <v>21</v>
      </c>
      <c r="K17" s="13">
        <v>24</v>
      </c>
      <c r="L17" s="13">
        <v>27</v>
      </c>
      <c r="M17" s="26">
        <v>28</v>
      </c>
      <c r="N17" s="28">
        <v>31</v>
      </c>
      <c r="O17" s="28">
        <v>3</v>
      </c>
      <c r="P17" s="28">
        <v>4</v>
      </c>
      <c r="Q17" s="14"/>
    </row>
    <row r="18" spans="1:18">
      <c r="A18" s="14"/>
      <c r="B18" s="241" t="s">
        <v>98</v>
      </c>
      <c r="C18" s="242"/>
      <c r="D18" s="27" t="s">
        <v>110</v>
      </c>
      <c r="E18" s="241" t="s">
        <v>98</v>
      </c>
      <c r="F18" s="242"/>
      <c r="G18" s="27" t="s">
        <v>111</v>
      </c>
      <c r="H18" s="241" t="s">
        <v>98</v>
      </c>
      <c r="I18" s="242"/>
      <c r="J18" s="27" t="s">
        <v>73</v>
      </c>
      <c r="K18" s="246" t="s">
        <v>112</v>
      </c>
      <c r="L18" s="247"/>
      <c r="M18" s="247"/>
      <c r="N18" s="247"/>
      <c r="O18" s="247"/>
      <c r="P18" s="248"/>
      <c r="Q18" s="14"/>
    </row>
    <row r="19" spans="1:18">
      <c r="A19" s="14"/>
      <c r="B19" s="258" t="s">
        <v>11</v>
      </c>
      <c r="C19" s="258"/>
      <c r="D19" s="258"/>
      <c r="E19" s="258"/>
      <c r="F19" s="258"/>
      <c r="G19" s="258"/>
      <c r="H19" s="258"/>
      <c r="I19" s="258"/>
      <c r="J19" s="258"/>
      <c r="K19" s="258"/>
      <c r="L19" s="258"/>
      <c r="M19" s="258"/>
      <c r="N19" s="15"/>
      <c r="O19" s="15"/>
      <c r="P19" s="15"/>
      <c r="Q19" s="14"/>
    </row>
    <row r="20" spans="1:18">
      <c r="A20" s="14"/>
      <c r="B20" s="29" t="s">
        <v>31</v>
      </c>
      <c r="C20" s="29" t="s">
        <v>32</v>
      </c>
      <c r="D20" s="29" t="s">
        <v>33</v>
      </c>
      <c r="E20" s="29" t="s">
        <v>31</v>
      </c>
      <c r="F20" s="29" t="s">
        <v>32</v>
      </c>
      <c r="G20" s="29" t="s">
        <v>33</v>
      </c>
      <c r="H20" s="29" t="s">
        <v>31</v>
      </c>
      <c r="I20" s="29" t="s">
        <v>32</v>
      </c>
      <c r="J20" s="29" t="s">
        <v>33</v>
      </c>
      <c r="K20" s="29" t="s">
        <v>31</v>
      </c>
      <c r="L20" s="29" t="s">
        <v>32</v>
      </c>
      <c r="M20" s="29" t="s">
        <v>33</v>
      </c>
      <c r="N20" s="24"/>
      <c r="O20" s="24"/>
      <c r="P20" s="24"/>
      <c r="Q20" s="14"/>
    </row>
    <row r="21" spans="1:18">
      <c r="A21" s="14"/>
      <c r="B21" s="30">
        <v>7</v>
      </c>
      <c r="C21" s="30">
        <v>10</v>
      </c>
      <c r="D21" s="30">
        <v>11</v>
      </c>
      <c r="E21" s="33">
        <v>14</v>
      </c>
      <c r="F21" s="33">
        <v>17</v>
      </c>
      <c r="G21" s="30">
        <v>18</v>
      </c>
      <c r="H21" s="30">
        <v>21</v>
      </c>
      <c r="I21" s="30">
        <v>24</v>
      </c>
      <c r="J21" s="30">
        <v>25</v>
      </c>
      <c r="K21" s="30">
        <v>28</v>
      </c>
      <c r="L21" s="30">
        <v>31</v>
      </c>
      <c r="M21" s="30">
        <v>1</v>
      </c>
      <c r="N21" s="25"/>
      <c r="O21" s="25"/>
      <c r="P21" s="25"/>
      <c r="Q21" s="14"/>
    </row>
    <row r="22" spans="1:18">
      <c r="A22" s="14"/>
      <c r="B22" s="260" t="s">
        <v>98</v>
      </c>
      <c r="C22" s="260"/>
      <c r="D22" s="35" t="s">
        <v>99</v>
      </c>
      <c r="E22" s="260" t="s">
        <v>98</v>
      </c>
      <c r="F22" s="260"/>
      <c r="G22" s="104" t="s">
        <v>113</v>
      </c>
      <c r="H22" s="260" t="s">
        <v>98</v>
      </c>
      <c r="I22" s="260"/>
      <c r="J22" s="104" t="s">
        <v>114</v>
      </c>
      <c r="K22" s="256" t="s">
        <v>98</v>
      </c>
      <c r="L22" s="256"/>
      <c r="M22" s="36" t="s">
        <v>115</v>
      </c>
      <c r="N22" s="257"/>
      <c r="O22" s="257"/>
      <c r="P22" s="25"/>
      <c r="Q22" s="14"/>
    </row>
    <row r="23" spans="1:18">
      <c r="A23" s="14"/>
      <c r="B23" s="261" t="s">
        <v>15</v>
      </c>
      <c r="C23" s="261"/>
      <c r="D23" s="261"/>
      <c r="E23" s="261"/>
      <c r="F23" s="261"/>
      <c r="G23" s="261"/>
      <c r="H23" s="261"/>
      <c r="I23" s="261"/>
      <c r="J23" s="261"/>
      <c r="K23" s="14"/>
      <c r="L23" s="14"/>
      <c r="M23" s="14"/>
      <c r="N23" s="14"/>
      <c r="O23" s="14"/>
      <c r="P23" s="14"/>
      <c r="Q23" s="14"/>
    </row>
    <row r="24" spans="1:18">
      <c r="A24" s="14"/>
      <c r="B24" s="34" t="s">
        <v>31</v>
      </c>
      <c r="C24" s="34" t="s">
        <v>32</v>
      </c>
      <c r="D24" s="34" t="s">
        <v>33</v>
      </c>
      <c r="E24" s="34" t="s">
        <v>31</v>
      </c>
      <c r="F24" s="34" t="s">
        <v>32</v>
      </c>
      <c r="G24" s="34" t="s">
        <v>33</v>
      </c>
      <c r="H24" s="34" t="s">
        <v>31</v>
      </c>
      <c r="I24" s="34" t="s">
        <v>32</v>
      </c>
      <c r="J24" s="34" t="s">
        <v>33</v>
      </c>
      <c r="K24" s="14"/>
      <c r="L24" s="14"/>
      <c r="M24" s="14"/>
      <c r="N24" s="14"/>
      <c r="O24" s="14"/>
      <c r="P24" s="14"/>
      <c r="Q24" s="14"/>
    </row>
    <row r="25" spans="1:18">
      <c r="A25" s="14"/>
      <c r="B25" s="32">
        <v>4</v>
      </c>
      <c r="C25" s="32">
        <v>7</v>
      </c>
      <c r="D25" s="32">
        <v>8</v>
      </c>
      <c r="E25" s="32">
        <v>11</v>
      </c>
      <c r="F25" s="32">
        <v>14</v>
      </c>
      <c r="G25" s="32">
        <v>15</v>
      </c>
      <c r="H25" s="32">
        <v>18</v>
      </c>
      <c r="I25" s="32">
        <v>21</v>
      </c>
      <c r="J25" s="32">
        <v>22</v>
      </c>
      <c r="K25" s="14"/>
      <c r="L25" s="14"/>
      <c r="M25" s="14"/>
      <c r="N25" s="14"/>
      <c r="O25" s="14"/>
      <c r="P25" s="14"/>
      <c r="Q25" s="14"/>
    </row>
    <row r="26" spans="1:18">
      <c r="A26" s="14"/>
      <c r="B26" s="259" t="s">
        <v>98</v>
      </c>
      <c r="C26" s="259"/>
      <c r="D26" s="32" t="s">
        <v>116</v>
      </c>
      <c r="E26" s="259" t="s">
        <v>98</v>
      </c>
      <c r="F26" s="259"/>
      <c r="G26" s="32"/>
      <c r="H26" s="259" t="s">
        <v>98</v>
      </c>
      <c r="I26" s="259"/>
      <c r="J26" s="32" t="s">
        <v>116</v>
      </c>
      <c r="K26" s="14"/>
      <c r="L26" s="14"/>
      <c r="M26" s="14"/>
      <c r="N26" s="14"/>
      <c r="O26" s="14"/>
      <c r="P26" s="14"/>
      <c r="Q26" s="14"/>
    </row>
    <row r="27" spans="1:18">
      <c r="A27" s="14"/>
      <c r="B27" s="14"/>
      <c r="C27" s="14"/>
      <c r="D27" s="14"/>
      <c r="E27" s="14"/>
      <c r="F27" s="14"/>
      <c r="G27" s="14"/>
      <c r="H27" s="14"/>
      <c r="I27" s="14"/>
      <c r="J27" s="14"/>
      <c r="K27" s="14"/>
      <c r="L27" s="14"/>
      <c r="M27" s="14"/>
      <c r="N27" s="14"/>
      <c r="O27" s="14"/>
      <c r="P27" s="14"/>
      <c r="Q27" s="14"/>
    </row>
    <row r="28" spans="1:18">
      <c r="A28" s="14"/>
      <c r="B28" s="15" t="s">
        <v>117</v>
      </c>
      <c r="C28" s="14"/>
      <c r="D28" s="14"/>
      <c r="E28" s="14"/>
      <c r="F28" s="14"/>
      <c r="G28" s="14"/>
      <c r="H28" s="14"/>
      <c r="I28" s="14"/>
      <c r="J28" s="14"/>
      <c r="K28" s="14"/>
      <c r="L28" s="14"/>
      <c r="M28" s="14"/>
      <c r="N28" s="14"/>
      <c r="O28" s="14"/>
      <c r="P28" s="14"/>
      <c r="Q28" s="14"/>
    </row>
    <row r="29" spans="1:18">
      <c r="A29" s="14"/>
      <c r="B29" s="14" t="s">
        <v>104</v>
      </c>
      <c r="C29" s="14" t="s">
        <v>118</v>
      </c>
      <c r="D29" s="14"/>
      <c r="E29" s="14"/>
      <c r="F29" s="14"/>
      <c r="G29" s="14"/>
      <c r="H29" s="14"/>
      <c r="I29" s="14"/>
      <c r="J29" s="14"/>
      <c r="K29" s="14"/>
      <c r="L29" s="14"/>
      <c r="M29" s="14"/>
      <c r="N29" s="14"/>
      <c r="O29" s="14"/>
      <c r="P29" s="14"/>
      <c r="Q29" s="14"/>
    </row>
    <row r="30" spans="1:18">
      <c r="A30" s="14"/>
      <c r="B30" s="14"/>
      <c r="C30" s="14"/>
      <c r="D30" s="14"/>
      <c r="E30" s="14"/>
      <c r="F30" s="14"/>
      <c r="G30" s="14"/>
      <c r="H30" s="14"/>
      <c r="I30" s="14"/>
      <c r="J30" s="14"/>
      <c r="K30" s="14"/>
      <c r="L30" s="14"/>
      <c r="M30" s="14"/>
      <c r="N30" s="14"/>
      <c r="O30" s="14"/>
      <c r="P30" s="14"/>
      <c r="Q30" s="14"/>
    </row>
    <row r="31" spans="1:18">
      <c r="A31" s="14"/>
      <c r="B31" s="14"/>
      <c r="C31" s="14"/>
      <c r="D31" s="14"/>
      <c r="E31" s="14"/>
      <c r="F31" s="14"/>
      <c r="G31" s="14"/>
      <c r="H31" s="14"/>
      <c r="I31" s="14"/>
      <c r="J31" s="14"/>
      <c r="K31" s="14"/>
      <c r="L31" s="14"/>
      <c r="M31" s="14"/>
      <c r="N31" s="14"/>
      <c r="O31" s="14"/>
      <c r="P31" s="14"/>
      <c r="Q31" s="14"/>
    </row>
    <row r="32" spans="1:18">
      <c r="A32" s="14"/>
      <c r="B32" s="14"/>
      <c r="C32" s="14"/>
      <c r="D32" s="14"/>
      <c r="E32" s="14"/>
      <c r="F32" s="14"/>
      <c r="G32" s="14"/>
      <c r="H32" s="14"/>
      <c r="I32" s="14"/>
      <c r="J32" s="14"/>
      <c r="K32" s="14"/>
      <c r="L32" s="14"/>
      <c r="M32" s="14"/>
      <c r="N32" s="14"/>
      <c r="O32" s="14"/>
      <c r="P32" s="14"/>
      <c r="Q32" s="14"/>
      <c r="R32" s="14"/>
    </row>
    <row r="33" spans="1:18">
      <c r="A33" s="14"/>
      <c r="B33" s="14"/>
      <c r="C33" s="14"/>
      <c r="D33" s="14"/>
      <c r="E33" s="14"/>
      <c r="F33" s="14"/>
      <c r="G33" s="14"/>
      <c r="H33" s="14"/>
      <c r="I33" s="14"/>
      <c r="J33" s="14"/>
      <c r="K33" s="14"/>
      <c r="L33" s="14"/>
      <c r="M33" s="14"/>
      <c r="N33" s="14"/>
      <c r="O33" s="14"/>
      <c r="P33" s="14"/>
      <c r="Q33" s="14"/>
      <c r="R33" s="14"/>
    </row>
    <row r="34" spans="1:18">
      <c r="A34" s="14"/>
      <c r="B34" s="14"/>
      <c r="C34" s="14"/>
      <c r="D34" s="14"/>
      <c r="E34" s="14"/>
      <c r="F34" s="14"/>
      <c r="G34" s="14"/>
      <c r="H34" s="14"/>
      <c r="I34" s="14"/>
      <c r="J34" s="14"/>
      <c r="K34" s="14"/>
      <c r="L34" s="14"/>
      <c r="M34" s="14"/>
      <c r="N34" s="14"/>
      <c r="O34" s="14"/>
      <c r="P34" s="14"/>
      <c r="Q34" s="14"/>
      <c r="R34" s="14"/>
    </row>
    <row r="35" spans="1:18">
      <c r="A35" s="14"/>
      <c r="B35" s="14"/>
      <c r="C35" s="14"/>
      <c r="D35" s="14"/>
      <c r="E35" s="14"/>
      <c r="F35" s="14"/>
      <c r="G35" s="14"/>
      <c r="H35" s="14"/>
      <c r="I35" s="14"/>
      <c r="J35" s="14"/>
      <c r="K35" s="14"/>
      <c r="L35" s="14"/>
      <c r="M35" s="14"/>
      <c r="N35" s="14"/>
      <c r="O35" s="14"/>
      <c r="P35" s="14"/>
      <c r="Q35" s="14"/>
      <c r="R35" s="14"/>
    </row>
    <row r="36" spans="1:18">
      <c r="A36" s="14"/>
      <c r="B36" s="14"/>
      <c r="C36" s="14"/>
      <c r="D36" s="14"/>
      <c r="E36" s="14"/>
      <c r="F36" s="14"/>
      <c r="G36" s="14"/>
      <c r="H36" s="14"/>
      <c r="I36" s="14"/>
      <c r="J36" s="14"/>
      <c r="K36" s="14"/>
      <c r="L36" s="14"/>
      <c r="M36" s="14"/>
      <c r="N36" s="14"/>
      <c r="O36" s="14"/>
      <c r="P36" s="14"/>
      <c r="Q36" s="14"/>
      <c r="R36" s="14"/>
    </row>
    <row r="37" spans="1:18">
      <c r="A37" s="14"/>
      <c r="B37" s="14"/>
      <c r="C37" s="14"/>
      <c r="D37" s="14"/>
      <c r="E37" s="14"/>
      <c r="F37" s="14"/>
      <c r="G37" s="14"/>
      <c r="H37" s="14"/>
      <c r="I37" s="14"/>
      <c r="J37" s="14"/>
      <c r="K37" s="14"/>
      <c r="L37" s="14"/>
      <c r="M37" s="14"/>
      <c r="N37" s="14"/>
      <c r="O37" s="14"/>
      <c r="P37" s="14"/>
      <c r="Q37" s="14"/>
      <c r="R37" s="14"/>
    </row>
    <row r="38" spans="1:18">
      <c r="A38" s="14"/>
      <c r="B38" s="14"/>
      <c r="C38" s="14"/>
      <c r="D38" s="14"/>
      <c r="E38" s="14"/>
      <c r="F38" s="14"/>
      <c r="G38" s="14"/>
      <c r="H38" s="14"/>
      <c r="I38" s="14"/>
      <c r="J38" s="14"/>
      <c r="K38" s="14"/>
      <c r="L38" s="14"/>
      <c r="M38" s="14"/>
      <c r="N38" s="14"/>
      <c r="O38" s="14"/>
      <c r="P38" s="14"/>
      <c r="Q38" s="14"/>
      <c r="R38" s="14"/>
    </row>
  </sheetData>
  <mergeCells count="28">
    <mergeCell ref="K22:L22"/>
    <mergeCell ref="N22:O22"/>
    <mergeCell ref="B19:M19"/>
    <mergeCell ref="B26:C26"/>
    <mergeCell ref="B22:C22"/>
    <mergeCell ref="E22:F22"/>
    <mergeCell ref="H22:I22"/>
    <mergeCell ref="E26:F26"/>
    <mergeCell ref="H26:I26"/>
    <mergeCell ref="B23:J23"/>
    <mergeCell ref="B2:P2"/>
    <mergeCell ref="B4:F4"/>
    <mergeCell ref="B7:M7"/>
    <mergeCell ref="B14:C14"/>
    <mergeCell ref="E14:F14"/>
    <mergeCell ref="H14:I14"/>
    <mergeCell ref="K14:L14"/>
    <mergeCell ref="N14:O14"/>
    <mergeCell ref="B11:P11"/>
    <mergeCell ref="B10:C10"/>
    <mergeCell ref="B15:P15"/>
    <mergeCell ref="B18:C18"/>
    <mergeCell ref="E18:F18"/>
    <mergeCell ref="H18:I18"/>
    <mergeCell ref="E10:F10"/>
    <mergeCell ref="H10:I10"/>
    <mergeCell ref="K10:L10"/>
    <mergeCell ref="K18:P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7DBF-2FC9-4466-9FDD-D0DF2CBA5993}">
  <dimension ref="B2:J34"/>
  <sheetViews>
    <sheetView topLeftCell="A7" workbookViewId="0">
      <selection activeCell="E18" sqref="E18"/>
    </sheetView>
  </sheetViews>
  <sheetFormatPr defaultRowHeight="15"/>
  <cols>
    <col min="2" max="2" width="17.42578125" customWidth="1"/>
    <col min="3" max="3" width="14" customWidth="1"/>
    <col min="4" max="4" width="24.28515625" customWidth="1"/>
    <col min="5" max="5" width="28.85546875" customWidth="1"/>
    <col min="6" max="6" width="15" customWidth="1"/>
    <col min="7" max="7" width="14" customWidth="1"/>
    <col min="8" max="8" width="14.42578125" customWidth="1"/>
    <col min="9" max="9" width="11.5703125" customWidth="1"/>
    <col min="10" max="10" width="30.140625" bestFit="1" customWidth="1"/>
  </cols>
  <sheetData>
    <row r="2" spans="2:10">
      <c r="B2" s="1" t="s">
        <v>119</v>
      </c>
      <c r="C2" s="1" t="s">
        <v>120</v>
      </c>
      <c r="D2" s="1" t="s">
        <v>121</v>
      </c>
      <c r="E2" s="1" t="s">
        <v>122</v>
      </c>
      <c r="F2" s="1" t="s">
        <v>87</v>
      </c>
      <c r="G2" s="1" t="s">
        <v>88</v>
      </c>
      <c r="H2" s="1" t="s">
        <v>123</v>
      </c>
      <c r="I2" s="37">
        <f>SUM(G3:G5)</f>
        <v>690</v>
      </c>
      <c r="J2" t="s">
        <v>124</v>
      </c>
    </row>
    <row r="3" spans="2:10">
      <c r="B3" s="1" t="s">
        <v>125</v>
      </c>
      <c r="C3" s="1" t="s">
        <v>126</v>
      </c>
      <c r="D3" s="1" t="s">
        <v>127</v>
      </c>
      <c r="E3" s="1" t="s">
        <v>128</v>
      </c>
      <c r="F3" s="38">
        <v>45359</v>
      </c>
      <c r="G3" s="37">
        <v>230</v>
      </c>
      <c r="H3" s="37"/>
      <c r="I3" s="37"/>
    </row>
    <row r="4" spans="2:10">
      <c r="B4" s="1" t="s">
        <v>99</v>
      </c>
      <c r="C4" s="1" t="s">
        <v>129</v>
      </c>
      <c r="D4" s="1" t="s">
        <v>127</v>
      </c>
      <c r="E4" s="1" t="s">
        <v>130</v>
      </c>
      <c r="F4" s="38">
        <v>45366</v>
      </c>
      <c r="G4" s="37">
        <v>230</v>
      </c>
      <c r="H4" s="37"/>
      <c r="I4" s="37"/>
    </row>
    <row r="5" spans="2:10">
      <c r="B5" s="1" t="s">
        <v>99</v>
      </c>
      <c r="C5" s="1" t="s">
        <v>131</v>
      </c>
      <c r="D5" s="1" t="s">
        <v>127</v>
      </c>
      <c r="E5" s="1" t="s">
        <v>132</v>
      </c>
      <c r="F5" s="38">
        <v>45366</v>
      </c>
      <c r="G5" s="37">
        <v>230</v>
      </c>
      <c r="H5" s="37"/>
      <c r="I5" s="37"/>
    </row>
    <row r="6" spans="2:10">
      <c r="B6" s="1" t="s">
        <v>100</v>
      </c>
      <c r="C6" s="1" t="s">
        <v>129</v>
      </c>
      <c r="D6" s="1" t="s">
        <v>127</v>
      </c>
      <c r="E6" s="1" t="s">
        <v>133</v>
      </c>
      <c r="F6" s="38">
        <v>45373</v>
      </c>
      <c r="G6" s="37">
        <v>230</v>
      </c>
      <c r="H6" s="37" t="s">
        <v>35</v>
      </c>
      <c r="I6" s="37"/>
    </row>
    <row r="7" spans="2:10">
      <c r="B7" s="1" t="s">
        <v>100</v>
      </c>
      <c r="C7" s="1" t="s">
        <v>126</v>
      </c>
      <c r="D7" s="1" t="s">
        <v>127</v>
      </c>
      <c r="E7" s="1" t="s">
        <v>134</v>
      </c>
      <c r="F7" s="38">
        <v>45373</v>
      </c>
      <c r="G7" s="37">
        <v>230</v>
      </c>
      <c r="H7" s="37" t="s">
        <v>35</v>
      </c>
      <c r="I7" s="37"/>
    </row>
    <row r="8" spans="2:10">
      <c r="B8" s="1" t="s">
        <v>100</v>
      </c>
      <c r="C8" s="1" t="s">
        <v>131</v>
      </c>
      <c r="D8" s="1" t="s">
        <v>127</v>
      </c>
      <c r="E8" s="1" t="s">
        <v>132</v>
      </c>
      <c r="F8" s="38">
        <v>45373</v>
      </c>
      <c r="G8" s="37">
        <v>230</v>
      </c>
      <c r="H8" s="37" t="s">
        <v>35</v>
      </c>
    </row>
    <row r="9" spans="2:10">
      <c r="B9" s="1" t="s">
        <v>101</v>
      </c>
      <c r="C9" s="1" t="s">
        <v>129</v>
      </c>
      <c r="D9" s="1" t="s">
        <v>127</v>
      </c>
      <c r="E9" s="1" t="s">
        <v>135</v>
      </c>
      <c r="F9" s="38">
        <v>45380</v>
      </c>
      <c r="G9" s="37">
        <v>230</v>
      </c>
      <c r="H9" s="1" t="s">
        <v>37</v>
      </c>
    </row>
    <row r="10" spans="2:10">
      <c r="B10" s="1" t="s">
        <v>101</v>
      </c>
      <c r="C10" s="1" t="s">
        <v>126</v>
      </c>
      <c r="D10" s="1" t="s">
        <v>136</v>
      </c>
      <c r="E10" s="1" t="s">
        <v>137</v>
      </c>
      <c r="F10" s="38">
        <v>45380</v>
      </c>
      <c r="G10" s="37">
        <v>230</v>
      </c>
      <c r="H10" s="1" t="s">
        <v>37</v>
      </c>
    </row>
    <row r="11" spans="2:10">
      <c r="B11" s="1" t="s">
        <v>101</v>
      </c>
      <c r="C11" s="1" t="s">
        <v>131</v>
      </c>
      <c r="D11" s="1" t="s">
        <v>136</v>
      </c>
      <c r="E11" s="1" t="s">
        <v>138</v>
      </c>
      <c r="F11" s="38">
        <v>45380</v>
      </c>
      <c r="G11" s="37">
        <v>230</v>
      </c>
      <c r="H11" s="1" t="s">
        <v>37</v>
      </c>
    </row>
    <row r="12" spans="2:10">
      <c r="B12" s="1" t="s">
        <v>102</v>
      </c>
      <c r="C12" s="1" t="s">
        <v>129</v>
      </c>
      <c r="D12" s="1" t="s">
        <v>127</v>
      </c>
      <c r="E12" s="1" t="s">
        <v>139</v>
      </c>
      <c r="F12" s="38">
        <v>45387</v>
      </c>
      <c r="G12" s="37">
        <v>250</v>
      </c>
      <c r="H12" s="1" t="s">
        <v>37</v>
      </c>
    </row>
    <row r="13" spans="2:10">
      <c r="B13" s="1" t="s">
        <v>102</v>
      </c>
      <c r="C13" s="1" t="s">
        <v>126</v>
      </c>
      <c r="D13" s="1" t="s">
        <v>127</v>
      </c>
      <c r="E13" s="1" t="s">
        <v>140</v>
      </c>
      <c r="F13" s="38">
        <v>45387</v>
      </c>
      <c r="G13" s="37">
        <v>250</v>
      </c>
      <c r="H13" s="1" t="s">
        <v>37</v>
      </c>
    </row>
    <row r="14" spans="2:10">
      <c r="B14" s="1" t="s">
        <v>102</v>
      </c>
      <c r="C14" s="1" t="s">
        <v>131</v>
      </c>
      <c r="D14" s="1" t="s">
        <v>127</v>
      </c>
      <c r="E14" s="1" t="s">
        <v>140</v>
      </c>
      <c r="F14" s="38">
        <v>45387</v>
      </c>
      <c r="G14" s="37">
        <v>250</v>
      </c>
      <c r="H14" s="1" t="s">
        <v>37</v>
      </c>
    </row>
    <row r="15" spans="2:10" ht="15" customHeight="1">
      <c r="B15" s="1" t="s">
        <v>104</v>
      </c>
      <c r="C15" s="1" t="s">
        <v>129</v>
      </c>
      <c r="D15" s="153" t="s">
        <v>141</v>
      </c>
      <c r="E15" s="1" t="s">
        <v>134</v>
      </c>
      <c r="F15" s="38">
        <v>45394</v>
      </c>
      <c r="G15" s="37">
        <v>250</v>
      </c>
      <c r="H15" s="1" t="s">
        <v>37</v>
      </c>
    </row>
    <row r="16" spans="2:10">
      <c r="B16" s="1" t="s">
        <v>104</v>
      </c>
      <c r="C16" s="1" t="s">
        <v>126</v>
      </c>
      <c r="D16" s="1" t="s">
        <v>127</v>
      </c>
      <c r="E16" s="1" t="s">
        <v>135</v>
      </c>
      <c r="F16" s="38">
        <v>45394</v>
      </c>
      <c r="G16" s="37">
        <v>250</v>
      </c>
      <c r="H16" s="1" t="s">
        <v>37</v>
      </c>
    </row>
    <row r="17" spans="2:8">
      <c r="B17" s="1" t="s">
        <v>104</v>
      </c>
      <c r="C17" s="1" t="s">
        <v>131</v>
      </c>
      <c r="D17" s="1" t="s">
        <v>127</v>
      </c>
      <c r="E17" s="1" t="s">
        <v>142</v>
      </c>
      <c r="F17" s="38">
        <v>45394</v>
      </c>
      <c r="G17" s="37">
        <v>250</v>
      </c>
      <c r="H17" s="1" t="s">
        <v>37</v>
      </c>
    </row>
    <row r="18" spans="2:8">
      <c r="B18" s="1"/>
      <c r="C18" s="1"/>
      <c r="D18" s="1"/>
      <c r="E18" s="1"/>
      <c r="F18" s="38"/>
      <c r="G18" s="37"/>
    </row>
    <row r="19" spans="2:8">
      <c r="B19" s="1"/>
      <c r="C19" s="1"/>
      <c r="D19" s="1"/>
      <c r="E19" s="1"/>
      <c r="F19" s="38"/>
      <c r="G19" s="37"/>
    </row>
    <row r="20" spans="2:8">
      <c r="B20" s="1"/>
      <c r="C20" s="1"/>
      <c r="D20" s="1"/>
      <c r="E20" s="1"/>
      <c r="F20" s="38"/>
      <c r="G20" s="37"/>
    </row>
    <row r="21" spans="2:8">
      <c r="B21" s="1"/>
      <c r="C21" s="1"/>
      <c r="D21" s="1"/>
      <c r="E21" s="1"/>
      <c r="F21" s="38"/>
      <c r="G21" s="37"/>
    </row>
    <row r="22" spans="2:8">
      <c r="B22" s="1"/>
      <c r="C22" s="1"/>
      <c r="D22" s="1"/>
      <c r="E22" s="1"/>
      <c r="F22" s="38"/>
      <c r="G22" s="37"/>
    </row>
    <row r="23" spans="2:8">
      <c r="B23" s="1"/>
      <c r="C23" s="1"/>
      <c r="D23" s="1"/>
      <c r="E23" s="1"/>
      <c r="F23" s="38"/>
      <c r="G23" s="37"/>
    </row>
    <row r="24" spans="2:8">
      <c r="B24" s="1"/>
      <c r="C24" s="1"/>
      <c r="D24" s="47"/>
      <c r="E24" s="47"/>
      <c r="F24" s="38"/>
      <c r="G24" s="37"/>
    </row>
    <row r="25" spans="2:8">
      <c r="B25" s="1"/>
      <c r="C25" s="1"/>
      <c r="D25" s="47"/>
      <c r="E25" s="47"/>
      <c r="F25" s="38"/>
      <c r="G25" s="37"/>
    </row>
    <row r="26" spans="2:8">
      <c r="B26" s="1"/>
      <c r="C26" s="1"/>
      <c r="D26" s="47"/>
      <c r="E26" s="47"/>
      <c r="F26" s="38"/>
      <c r="G26" s="37"/>
    </row>
    <row r="27" spans="2:8">
      <c r="B27" s="1"/>
      <c r="C27" s="1"/>
      <c r="D27" s="47"/>
      <c r="E27" s="47"/>
      <c r="F27" s="38"/>
      <c r="G27" s="37"/>
    </row>
    <row r="28" spans="2:8">
      <c r="B28" s="1"/>
      <c r="C28" s="1"/>
      <c r="D28" s="47"/>
      <c r="E28" s="47"/>
      <c r="F28" s="38"/>
      <c r="G28" s="37"/>
    </row>
    <row r="29" spans="2:8">
      <c r="B29" s="1"/>
      <c r="C29" s="1"/>
      <c r="D29" s="47"/>
      <c r="E29" s="47"/>
      <c r="F29" s="38"/>
      <c r="G29" s="37"/>
    </row>
    <row r="30" spans="2:8">
      <c r="B30" s="1"/>
      <c r="C30" s="1"/>
      <c r="D30" s="47"/>
      <c r="E30" s="47"/>
      <c r="F30" s="38"/>
      <c r="G30" s="37"/>
    </row>
    <row r="31" spans="2:8">
      <c r="B31" s="1"/>
      <c r="C31" s="1"/>
      <c r="D31" s="47"/>
      <c r="E31" s="47"/>
      <c r="F31" s="38"/>
      <c r="G31" s="37"/>
    </row>
    <row r="34" spans="7:7">
      <c r="G34" s="19">
        <f>SUM(G3:G33)</f>
        <v>3570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8FC5-60D5-4039-B12E-EAFCF403D223}">
  <dimension ref="B2:P45"/>
  <sheetViews>
    <sheetView topLeftCell="A27" workbookViewId="0">
      <selection activeCell="G29" sqref="G29:I29"/>
    </sheetView>
  </sheetViews>
  <sheetFormatPr defaultRowHeight="15"/>
  <cols>
    <col min="2" max="2" width="11.42578125" customWidth="1"/>
    <col min="3" max="3" width="18.42578125" customWidth="1"/>
    <col min="16" max="16" width="19.85546875" customWidth="1"/>
  </cols>
  <sheetData>
    <row r="2" spans="2:16" ht="18.75">
      <c r="D2" s="207" t="s">
        <v>24</v>
      </c>
      <c r="E2" s="208"/>
      <c r="F2" s="208"/>
      <c r="G2" s="208"/>
      <c r="H2" s="208"/>
      <c r="I2" s="208"/>
      <c r="J2" s="208"/>
      <c r="K2" s="208"/>
      <c r="L2" s="208"/>
      <c r="M2" s="208"/>
      <c r="N2" s="208"/>
      <c r="O2" s="209"/>
    </row>
    <row r="3" spans="2:16">
      <c r="D3" s="173" t="s">
        <v>25</v>
      </c>
      <c r="E3" s="174"/>
      <c r="F3" s="233"/>
      <c r="G3" s="234" t="s">
        <v>26</v>
      </c>
      <c r="H3" s="177"/>
      <c r="I3" s="178"/>
      <c r="J3" s="179" t="s">
        <v>27</v>
      </c>
      <c r="K3" s="180"/>
      <c r="L3" s="235"/>
      <c r="M3" s="236" t="s">
        <v>28</v>
      </c>
      <c r="N3" s="183"/>
      <c r="O3" s="184"/>
    </row>
    <row r="4" spans="2:16">
      <c r="B4" s="267" t="s">
        <v>29</v>
      </c>
      <c r="C4" s="222" t="s">
        <v>30</v>
      </c>
      <c r="D4" s="50" t="s">
        <v>31</v>
      </c>
      <c r="E4" s="17" t="s">
        <v>32</v>
      </c>
      <c r="F4" s="80" t="s">
        <v>33</v>
      </c>
      <c r="G4" s="50" t="s">
        <v>31</v>
      </c>
      <c r="H4" s="17" t="s">
        <v>32</v>
      </c>
      <c r="I4" s="80" t="s">
        <v>33</v>
      </c>
      <c r="J4" s="61" t="s">
        <v>31</v>
      </c>
      <c r="K4" s="62" t="s">
        <v>32</v>
      </c>
      <c r="L4" s="108" t="s">
        <v>33</v>
      </c>
      <c r="M4" s="65" t="s">
        <v>31</v>
      </c>
      <c r="N4" s="66" t="s">
        <v>32</v>
      </c>
      <c r="O4" s="81" t="s">
        <v>33</v>
      </c>
    </row>
    <row r="5" spans="2:16">
      <c r="B5" s="268"/>
      <c r="C5" s="265"/>
      <c r="D5" s="72">
        <v>1</v>
      </c>
      <c r="E5" s="59">
        <v>4</v>
      </c>
      <c r="F5" s="162">
        <v>5</v>
      </c>
      <c r="G5" s="51">
        <v>8</v>
      </c>
      <c r="H5" s="4">
        <v>11</v>
      </c>
      <c r="I5" s="77">
        <v>12</v>
      </c>
      <c r="J5" s="63">
        <v>15</v>
      </c>
      <c r="K5" s="64">
        <v>18</v>
      </c>
      <c r="L5" s="109">
        <v>19</v>
      </c>
      <c r="M5" s="67">
        <v>22</v>
      </c>
      <c r="N5" s="68">
        <v>25</v>
      </c>
      <c r="O5" s="82">
        <v>26</v>
      </c>
    </row>
    <row r="6" spans="2:16">
      <c r="B6" s="268"/>
      <c r="C6" s="265"/>
      <c r="D6" s="73" t="s">
        <v>143</v>
      </c>
      <c r="E6" s="60" t="s">
        <v>143</v>
      </c>
      <c r="F6" s="78" t="s">
        <v>144</v>
      </c>
      <c r="G6" s="51" t="s">
        <v>143</v>
      </c>
      <c r="H6" s="76" t="s">
        <v>143</v>
      </c>
      <c r="I6" s="77" t="s">
        <v>145</v>
      </c>
      <c r="J6" s="63" t="s">
        <v>143</v>
      </c>
      <c r="K6" s="64" t="s">
        <v>143</v>
      </c>
      <c r="L6" s="109"/>
      <c r="M6" s="67" t="s">
        <v>143</v>
      </c>
      <c r="N6" s="68" t="s">
        <v>143</v>
      </c>
      <c r="O6" s="82"/>
    </row>
    <row r="7" spans="2:16">
      <c r="B7" s="269"/>
      <c r="C7" s="266"/>
      <c r="D7" s="73" t="s">
        <v>146</v>
      </c>
      <c r="E7" s="60" t="s">
        <v>147</v>
      </c>
      <c r="F7" s="78" t="s">
        <v>147</v>
      </c>
      <c r="G7" s="51" t="s">
        <v>146</v>
      </c>
      <c r="H7" s="4" t="s">
        <v>147</v>
      </c>
      <c r="I7" s="77" t="s">
        <v>148</v>
      </c>
      <c r="J7" s="63" t="s">
        <v>146</v>
      </c>
      <c r="K7" s="64" t="s">
        <v>147</v>
      </c>
      <c r="L7" s="109"/>
      <c r="M7" s="67" t="s">
        <v>146</v>
      </c>
      <c r="N7" s="68" t="s">
        <v>147</v>
      </c>
      <c r="O7" s="82"/>
    </row>
    <row r="8" spans="2:16">
      <c r="B8" s="57">
        <v>1</v>
      </c>
      <c r="C8" s="74" t="s">
        <v>34</v>
      </c>
      <c r="D8" s="70">
        <v>1</v>
      </c>
      <c r="E8" s="69">
        <v>1</v>
      </c>
      <c r="F8" s="79">
        <v>1</v>
      </c>
      <c r="G8" s="112">
        <v>1</v>
      </c>
      <c r="H8" s="113">
        <v>1</v>
      </c>
      <c r="I8" s="114">
        <v>1</v>
      </c>
      <c r="J8" s="112">
        <v>0</v>
      </c>
      <c r="K8" s="113">
        <v>0</v>
      </c>
      <c r="L8" s="114">
        <v>0</v>
      </c>
      <c r="M8" s="112">
        <v>0</v>
      </c>
      <c r="N8" s="113">
        <v>0</v>
      </c>
      <c r="O8" s="115">
        <v>0</v>
      </c>
    </row>
    <row r="9" spans="2:16">
      <c r="B9" s="57">
        <v>2</v>
      </c>
      <c r="C9" s="74" t="s">
        <v>149</v>
      </c>
      <c r="D9" s="70">
        <v>1</v>
      </c>
      <c r="E9" s="69">
        <v>1</v>
      </c>
      <c r="F9" s="79">
        <v>0</v>
      </c>
      <c r="G9" s="112">
        <v>1</v>
      </c>
      <c r="H9" s="113">
        <v>1</v>
      </c>
      <c r="I9" s="114">
        <v>0</v>
      </c>
      <c r="J9" s="112">
        <v>0</v>
      </c>
      <c r="K9" s="113">
        <v>0</v>
      </c>
      <c r="L9" s="114">
        <v>0</v>
      </c>
      <c r="M9" s="112">
        <v>0</v>
      </c>
      <c r="N9" s="113">
        <v>0</v>
      </c>
      <c r="O9" s="115">
        <v>0</v>
      </c>
    </row>
    <row r="10" spans="2:16" ht="15" customHeight="1">
      <c r="B10" s="57">
        <v>3</v>
      </c>
      <c r="C10" s="74" t="s">
        <v>36</v>
      </c>
      <c r="D10" s="155">
        <v>0</v>
      </c>
      <c r="E10" s="156">
        <v>0</v>
      </c>
      <c r="F10" s="157">
        <v>0</v>
      </c>
      <c r="G10" s="155">
        <v>0</v>
      </c>
      <c r="H10" s="156">
        <v>0</v>
      </c>
      <c r="I10" s="157">
        <v>0</v>
      </c>
      <c r="J10" s="112">
        <v>0</v>
      </c>
      <c r="K10" s="113">
        <v>0</v>
      </c>
      <c r="L10" s="114">
        <v>0</v>
      </c>
      <c r="M10" s="112">
        <v>0</v>
      </c>
      <c r="N10" s="113">
        <v>0</v>
      </c>
      <c r="O10" s="115">
        <v>0</v>
      </c>
      <c r="P10" s="117"/>
    </row>
    <row r="11" spans="2:16">
      <c r="B11" s="57">
        <v>4</v>
      </c>
      <c r="C11" s="74" t="s">
        <v>38</v>
      </c>
      <c r="D11" s="70">
        <v>1</v>
      </c>
      <c r="E11" s="69">
        <v>1</v>
      </c>
      <c r="F11" s="79">
        <v>1</v>
      </c>
      <c r="G11" s="112">
        <v>1</v>
      </c>
      <c r="H11" s="113">
        <v>1</v>
      </c>
      <c r="I11" s="114">
        <v>1</v>
      </c>
      <c r="J11" s="112">
        <v>0</v>
      </c>
      <c r="K11" s="113">
        <v>0</v>
      </c>
      <c r="L11" s="114">
        <v>0</v>
      </c>
      <c r="M11" s="112">
        <v>0</v>
      </c>
      <c r="N11" s="113">
        <v>0</v>
      </c>
      <c r="O11" s="115">
        <v>0</v>
      </c>
    </row>
    <row r="12" spans="2:16">
      <c r="B12" s="57">
        <v>5</v>
      </c>
      <c r="C12" s="74" t="s">
        <v>39</v>
      </c>
      <c r="D12" s="70">
        <v>1</v>
      </c>
      <c r="E12" s="69">
        <v>1</v>
      </c>
      <c r="F12" s="79">
        <v>1</v>
      </c>
      <c r="G12" s="112">
        <v>1</v>
      </c>
      <c r="H12" s="113">
        <v>1</v>
      </c>
      <c r="I12" s="114">
        <v>1</v>
      </c>
      <c r="J12" s="112">
        <v>0</v>
      </c>
      <c r="K12" s="113">
        <v>0</v>
      </c>
      <c r="L12" s="114">
        <v>0</v>
      </c>
      <c r="M12" s="112">
        <v>0</v>
      </c>
      <c r="N12" s="113">
        <v>0</v>
      </c>
      <c r="O12" s="115">
        <v>0</v>
      </c>
    </row>
    <row r="13" spans="2:16">
      <c r="B13" s="57">
        <v>6</v>
      </c>
      <c r="C13" s="74" t="s">
        <v>40</v>
      </c>
      <c r="D13" s="70">
        <v>1</v>
      </c>
      <c r="E13" s="69">
        <v>1</v>
      </c>
      <c r="F13" s="79">
        <v>1</v>
      </c>
      <c r="G13" s="112">
        <v>1</v>
      </c>
      <c r="H13" s="113">
        <v>1</v>
      </c>
      <c r="I13" s="114">
        <v>1</v>
      </c>
      <c r="J13" s="112">
        <v>0</v>
      </c>
      <c r="K13" s="113">
        <v>0</v>
      </c>
      <c r="L13" s="114">
        <v>0</v>
      </c>
      <c r="M13" s="112">
        <v>0</v>
      </c>
      <c r="N13" s="113">
        <v>0</v>
      </c>
      <c r="O13" s="115">
        <v>0</v>
      </c>
    </row>
    <row r="14" spans="2:16">
      <c r="B14" s="57">
        <v>7</v>
      </c>
      <c r="C14" s="74" t="s">
        <v>41</v>
      </c>
      <c r="D14" s="70">
        <v>1</v>
      </c>
      <c r="E14" s="69">
        <v>0</v>
      </c>
      <c r="F14" s="79">
        <v>1</v>
      </c>
      <c r="G14" s="112">
        <v>1</v>
      </c>
      <c r="H14" s="113">
        <v>1</v>
      </c>
      <c r="I14" s="114">
        <v>1</v>
      </c>
      <c r="J14" s="112">
        <v>0</v>
      </c>
      <c r="K14" s="113">
        <v>0</v>
      </c>
      <c r="L14" s="114">
        <v>0</v>
      </c>
      <c r="M14" s="112">
        <v>0</v>
      </c>
      <c r="N14" s="113">
        <v>0</v>
      </c>
      <c r="O14" s="115">
        <v>0</v>
      </c>
    </row>
    <row r="15" spans="2:16">
      <c r="B15" s="57">
        <v>8</v>
      </c>
      <c r="C15" s="74" t="s">
        <v>42</v>
      </c>
      <c r="D15" s="70">
        <v>1</v>
      </c>
      <c r="E15" s="69">
        <v>1</v>
      </c>
      <c r="F15" s="79">
        <v>1</v>
      </c>
      <c r="G15" s="112">
        <v>1</v>
      </c>
      <c r="H15" s="113">
        <v>1</v>
      </c>
      <c r="I15" s="114">
        <v>1</v>
      </c>
      <c r="J15" s="112">
        <v>0</v>
      </c>
      <c r="K15" s="113">
        <v>0</v>
      </c>
      <c r="L15" s="114">
        <v>0</v>
      </c>
      <c r="M15" s="112">
        <v>0</v>
      </c>
      <c r="N15" s="113">
        <v>0</v>
      </c>
      <c r="O15" s="115">
        <v>0</v>
      </c>
    </row>
    <row r="16" spans="2:16">
      <c r="B16" s="57">
        <v>9</v>
      </c>
      <c r="C16" s="74" t="s">
        <v>43</v>
      </c>
      <c r="D16" s="70">
        <v>1</v>
      </c>
      <c r="E16" s="69">
        <v>1</v>
      </c>
      <c r="F16" s="79">
        <v>1</v>
      </c>
      <c r="G16" s="112">
        <v>1</v>
      </c>
      <c r="H16" s="113">
        <v>1</v>
      </c>
      <c r="I16" s="157">
        <v>0</v>
      </c>
      <c r="J16" s="112">
        <v>0</v>
      </c>
      <c r="K16" s="113">
        <v>0</v>
      </c>
      <c r="L16" s="114">
        <v>0</v>
      </c>
      <c r="M16" s="112">
        <v>0</v>
      </c>
      <c r="N16" s="113">
        <v>0</v>
      </c>
      <c r="O16" s="115">
        <v>0</v>
      </c>
    </row>
    <row r="17" spans="2:15">
      <c r="B17" s="57">
        <v>10</v>
      </c>
      <c r="C17" s="74" t="s">
        <v>44</v>
      </c>
      <c r="D17" s="70">
        <v>0</v>
      </c>
      <c r="E17" s="156">
        <v>0</v>
      </c>
      <c r="F17" s="157">
        <v>0</v>
      </c>
      <c r="G17" s="112">
        <v>0</v>
      </c>
      <c r="H17" s="113">
        <v>1</v>
      </c>
      <c r="I17" s="114">
        <v>0</v>
      </c>
      <c r="J17" s="112">
        <v>0</v>
      </c>
      <c r="K17" s="113">
        <v>0</v>
      </c>
      <c r="L17" s="114">
        <v>0</v>
      </c>
      <c r="M17" s="112">
        <v>0</v>
      </c>
      <c r="N17" s="113">
        <v>0</v>
      </c>
      <c r="O17" s="115">
        <v>0</v>
      </c>
    </row>
    <row r="18" spans="2:15">
      <c r="B18" s="57">
        <v>11</v>
      </c>
      <c r="C18" s="74" t="s">
        <v>45</v>
      </c>
      <c r="D18" s="70">
        <v>1</v>
      </c>
      <c r="E18" s="69">
        <v>1</v>
      </c>
      <c r="F18" s="79">
        <v>1</v>
      </c>
      <c r="G18" s="112">
        <v>1</v>
      </c>
      <c r="H18" s="113">
        <v>1</v>
      </c>
      <c r="I18" s="114">
        <v>1</v>
      </c>
      <c r="J18" s="112">
        <v>0</v>
      </c>
      <c r="K18" s="113">
        <v>0</v>
      </c>
      <c r="L18" s="114">
        <v>0</v>
      </c>
      <c r="M18" s="112">
        <v>0</v>
      </c>
      <c r="N18" s="113">
        <v>0</v>
      </c>
      <c r="O18" s="115">
        <v>0</v>
      </c>
    </row>
    <row r="19" spans="2:15">
      <c r="B19" s="57">
        <v>12</v>
      </c>
      <c r="C19" s="74" t="s">
        <v>46</v>
      </c>
      <c r="D19" s="155">
        <v>0</v>
      </c>
      <c r="E19" s="69">
        <v>1</v>
      </c>
      <c r="F19" s="79">
        <v>1</v>
      </c>
      <c r="G19" s="112">
        <v>1</v>
      </c>
      <c r="H19" s="113">
        <v>0</v>
      </c>
      <c r="I19" s="114">
        <v>0</v>
      </c>
      <c r="J19" s="112">
        <v>0</v>
      </c>
      <c r="K19" s="113">
        <v>0</v>
      </c>
      <c r="L19" s="114">
        <v>0</v>
      </c>
      <c r="M19" s="112">
        <v>0</v>
      </c>
      <c r="N19" s="113">
        <v>0</v>
      </c>
      <c r="O19" s="115">
        <v>0</v>
      </c>
    </row>
    <row r="20" spans="2:15">
      <c r="B20" s="57">
        <v>13</v>
      </c>
      <c r="C20" s="74" t="s">
        <v>47</v>
      </c>
      <c r="D20" s="70">
        <v>1</v>
      </c>
      <c r="E20" s="69">
        <v>1</v>
      </c>
      <c r="F20" s="79">
        <v>0</v>
      </c>
      <c r="G20" s="112">
        <v>1</v>
      </c>
      <c r="H20" s="113">
        <v>1</v>
      </c>
      <c r="I20" s="114">
        <v>0</v>
      </c>
      <c r="J20" s="112">
        <v>0</v>
      </c>
      <c r="K20" s="113">
        <v>0</v>
      </c>
      <c r="L20" s="114">
        <v>0</v>
      </c>
      <c r="M20" s="112">
        <v>0</v>
      </c>
      <c r="N20" s="113">
        <v>0</v>
      </c>
      <c r="O20" s="115">
        <v>0</v>
      </c>
    </row>
    <row r="21" spans="2:15">
      <c r="B21" s="57">
        <v>14</v>
      </c>
      <c r="C21" s="74" t="s">
        <v>48</v>
      </c>
      <c r="D21" s="70">
        <v>0</v>
      </c>
      <c r="E21" s="69">
        <v>0</v>
      </c>
      <c r="F21" s="79">
        <v>0</v>
      </c>
      <c r="G21" s="112">
        <v>0</v>
      </c>
      <c r="H21" s="113">
        <v>0</v>
      </c>
      <c r="I21" s="114">
        <v>0</v>
      </c>
      <c r="J21" s="112">
        <v>0</v>
      </c>
      <c r="K21" s="113">
        <v>0</v>
      </c>
      <c r="L21" s="114">
        <v>0</v>
      </c>
      <c r="M21" s="112">
        <v>0</v>
      </c>
      <c r="N21" s="113">
        <v>0</v>
      </c>
      <c r="O21" s="115">
        <v>0</v>
      </c>
    </row>
    <row r="22" spans="2:15">
      <c r="B22" s="57">
        <v>16</v>
      </c>
      <c r="C22" s="74" t="s">
        <v>49</v>
      </c>
      <c r="D22" s="70">
        <v>0</v>
      </c>
      <c r="E22" s="69">
        <v>1</v>
      </c>
      <c r="F22" s="79">
        <v>1</v>
      </c>
      <c r="G22" s="112">
        <v>0</v>
      </c>
      <c r="H22" s="113">
        <v>1</v>
      </c>
      <c r="I22" s="114">
        <v>1</v>
      </c>
      <c r="J22" s="112">
        <v>0</v>
      </c>
      <c r="K22" s="113">
        <v>0</v>
      </c>
      <c r="L22" s="114">
        <v>0</v>
      </c>
      <c r="M22" s="112">
        <v>0</v>
      </c>
      <c r="N22" s="113">
        <v>0</v>
      </c>
      <c r="O22" s="115">
        <v>0</v>
      </c>
    </row>
    <row r="23" spans="2:15">
      <c r="B23" s="57">
        <v>17</v>
      </c>
      <c r="C23" s="74" t="s">
        <v>50</v>
      </c>
      <c r="D23" s="70">
        <v>1</v>
      </c>
      <c r="E23" s="69">
        <v>1</v>
      </c>
      <c r="F23" s="79">
        <v>1</v>
      </c>
      <c r="G23" s="112">
        <v>0</v>
      </c>
      <c r="H23" s="113">
        <v>0</v>
      </c>
      <c r="I23" s="114">
        <v>0</v>
      </c>
      <c r="J23" s="112">
        <v>0</v>
      </c>
      <c r="K23" s="113">
        <v>0</v>
      </c>
      <c r="L23" s="114">
        <v>0</v>
      </c>
      <c r="M23" s="112">
        <v>0</v>
      </c>
      <c r="N23" s="113">
        <v>0</v>
      </c>
      <c r="O23" s="115">
        <v>0</v>
      </c>
    </row>
    <row r="24" spans="2:15">
      <c r="B24" s="57">
        <v>18</v>
      </c>
      <c r="C24" s="74" t="s">
        <v>51</v>
      </c>
      <c r="D24" s="70">
        <v>1</v>
      </c>
      <c r="E24" s="69">
        <v>1</v>
      </c>
      <c r="F24" s="79">
        <v>1</v>
      </c>
      <c r="G24" s="112">
        <v>1</v>
      </c>
      <c r="H24" s="113">
        <v>1</v>
      </c>
      <c r="I24" s="114">
        <v>1</v>
      </c>
      <c r="J24" s="112">
        <v>0</v>
      </c>
      <c r="K24" s="113">
        <v>0</v>
      </c>
      <c r="L24" s="114">
        <v>0</v>
      </c>
      <c r="M24" s="112">
        <v>0</v>
      </c>
      <c r="N24" s="113">
        <v>0</v>
      </c>
      <c r="O24" s="115">
        <v>0</v>
      </c>
    </row>
    <row r="25" spans="2:15">
      <c r="B25" s="57">
        <v>19</v>
      </c>
      <c r="C25" s="74" t="s">
        <v>52</v>
      </c>
      <c r="D25" s="70">
        <v>1</v>
      </c>
      <c r="E25" s="69">
        <v>1</v>
      </c>
      <c r="F25" s="79">
        <v>1</v>
      </c>
      <c r="G25" s="112">
        <v>1</v>
      </c>
      <c r="H25" s="113">
        <v>1</v>
      </c>
      <c r="I25" s="114">
        <v>1</v>
      </c>
      <c r="J25" s="112">
        <v>0</v>
      </c>
      <c r="K25" s="113">
        <v>0</v>
      </c>
      <c r="L25" s="114">
        <v>0</v>
      </c>
      <c r="M25" s="112">
        <v>0</v>
      </c>
      <c r="N25" s="113">
        <v>0</v>
      </c>
      <c r="O25" s="115">
        <v>0</v>
      </c>
    </row>
    <row r="26" spans="2:15">
      <c r="B26" s="57">
        <v>20</v>
      </c>
      <c r="C26" s="74" t="s">
        <v>150</v>
      </c>
      <c r="D26" s="70">
        <v>1</v>
      </c>
      <c r="E26" s="69">
        <v>1</v>
      </c>
      <c r="F26" s="79">
        <v>1</v>
      </c>
      <c r="G26" s="112">
        <v>1</v>
      </c>
      <c r="H26" s="113">
        <v>1</v>
      </c>
      <c r="I26" s="114">
        <v>1</v>
      </c>
      <c r="J26" s="112">
        <v>0</v>
      </c>
      <c r="K26" s="113">
        <v>0</v>
      </c>
      <c r="L26" s="114">
        <v>0</v>
      </c>
      <c r="M26" s="112">
        <v>0</v>
      </c>
      <c r="N26" s="113">
        <v>0</v>
      </c>
      <c r="O26" s="115">
        <v>0</v>
      </c>
    </row>
    <row r="27" spans="2:15">
      <c r="B27" s="57">
        <v>21</v>
      </c>
      <c r="C27" s="74" t="s">
        <v>54</v>
      </c>
      <c r="D27" s="70" t="s">
        <v>73</v>
      </c>
      <c r="E27" s="69" t="s">
        <v>73</v>
      </c>
      <c r="F27" s="79" t="s">
        <v>73</v>
      </c>
      <c r="G27" s="112">
        <v>1</v>
      </c>
      <c r="H27" s="113">
        <v>1</v>
      </c>
      <c r="I27" s="114">
        <v>1</v>
      </c>
      <c r="J27" s="112">
        <v>0</v>
      </c>
      <c r="K27" s="113">
        <v>0</v>
      </c>
      <c r="L27" s="114">
        <v>0</v>
      </c>
      <c r="M27" s="112">
        <v>0</v>
      </c>
      <c r="N27" s="113">
        <v>0</v>
      </c>
      <c r="O27" s="115">
        <v>0</v>
      </c>
    </row>
    <row r="28" spans="2:15">
      <c r="B28" s="57">
        <v>22</v>
      </c>
      <c r="C28" s="74" t="s">
        <v>151</v>
      </c>
      <c r="D28" s="70">
        <v>1</v>
      </c>
      <c r="E28" s="69">
        <v>1</v>
      </c>
      <c r="F28" s="79">
        <v>1</v>
      </c>
      <c r="G28" s="112">
        <v>1</v>
      </c>
      <c r="H28" s="113">
        <v>1</v>
      </c>
      <c r="I28" s="114">
        <v>1</v>
      </c>
      <c r="J28" s="112">
        <v>0</v>
      </c>
      <c r="K28" s="113">
        <v>0</v>
      </c>
      <c r="L28" s="114">
        <v>0</v>
      </c>
      <c r="M28" s="112">
        <v>0</v>
      </c>
      <c r="N28" s="113">
        <v>0</v>
      </c>
      <c r="O28" s="115">
        <v>0</v>
      </c>
    </row>
    <row r="29" spans="2:15">
      <c r="B29" s="71">
        <v>23</v>
      </c>
      <c r="C29" s="74" t="s">
        <v>56</v>
      </c>
      <c r="D29" s="155">
        <v>0</v>
      </c>
      <c r="E29" s="156">
        <v>0</v>
      </c>
      <c r="F29" s="157">
        <v>0</v>
      </c>
      <c r="G29" s="155">
        <v>0</v>
      </c>
      <c r="H29" s="156">
        <v>0</v>
      </c>
      <c r="I29" s="157">
        <v>0</v>
      </c>
      <c r="J29" s="112">
        <v>0</v>
      </c>
      <c r="K29" s="113">
        <v>0</v>
      </c>
      <c r="L29" s="114">
        <v>0</v>
      </c>
      <c r="M29" s="112">
        <v>0</v>
      </c>
      <c r="N29" s="113">
        <v>0</v>
      </c>
      <c r="O29" s="115">
        <v>0</v>
      </c>
    </row>
    <row r="30" spans="2:15">
      <c r="B30" s="71">
        <v>24</v>
      </c>
      <c r="C30" s="74" t="s">
        <v>57</v>
      </c>
      <c r="D30" s="70">
        <v>0</v>
      </c>
      <c r="E30" s="69">
        <v>1</v>
      </c>
      <c r="F30" s="79">
        <v>1</v>
      </c>
      <c r="G30" s="112">
        <v>0</v>
      </c>
      <c r="H30" s="113">
        <v>1</v>
      </c>
      <c r="I30" s="114">
        <v>1</v>
      </c>
      <c r="J30" s="112">
        <v>0</v>
      </c>
      <c r="K30" s="113">
        <v>0</v>
      </c>
      <c r="L30" s="114">
        <v>0</v>
      </c>
      <c r="M30" s="112">
        <v>0</v>
      </c>
      <c r="N30" s="113">
        <v>0</v>
      </c>
      <c r="O30" s="115">
        <v>0</v>
      </c>
    </row>
    <row r="31" spans="2:15">
      <c r="B31" s="71">
        <v>25</v>
      </c>
      <c r="C31" s="74" t="s">
        <v>58</v>
      </c>
      <c r="D31" s="70">
        <v>1</v>
      </c>
      <c r="E31" s="69">
        <v>1</v>
      </c>
      <c r="F31" s="79">
        <v>1</v>
      </c>
      <c r="G31" s="112">
        <v>1</v>
      </c>
      <c r="H31" s="113">
        <v>1</v>
      </c>
      <c r="I31" s="114">
        <v>1</v>
      </c>
      <c r="J31" s="112">
        <v>0</v>
      </c>
      <c r="K31" s="113">
        <v>0</v>
      </c>
      <c r="L31" s="114">
        <v>0</v>
      </c>
      <c r="M31" s="112">
        <v>0</v>
      </c>
      <c r="N31" s="113">
        <v>0</v>
      </c>
      <c r="O31" s="115">
        <v>0</v>
      </c>
    </row>
    <row r="32" spans="2:15">
      <c r="B32" s="71">
        <v>26</v>
      </c>
      <c r="C32" s="74" t="s">
        <v>59</v>
      </c>
      <c r="D32" s="70">
        <v>1</v>
      </c>
      <c r="E32" s="69">
        <v>0</v>
      </c>
      <c r="F32" s="79">
        <v>1</v>
      </c>
      <c r="G32" s="112">
        <v>1</v>
      </c>
      <c r="H32" s="113">
        <v>0</v>
      </c>
      <c r="I32" s="114">
        <v>0</v>
      </c>
      <c r="J32" s="112">
        <v>0</v>
      </c>
      <c r="K32" s="113">
        <v>0</v>
      </c>
      <c r="L32" s="114">
        <v>0</v>
      </c>
      <c r="M32" s="112">
        <v>0</v>
      </c>
      <c r="N32" s="113">
        <v>0</v>
      </c>
      <c r="O32" s="115">
        <v>0</v>
      </c>
    </row>
    <row r="33" spans="2:15">
      <c r="B33" s="71">
        <v>27</v>
      </c>
      <c r="C33" s="74" t="s">
        <v>60</v>
      </c>
      <c r="D33" s="70">
        <v>1</v>
      </c>
      <c r="E33" s="69">
        <v>0</v>
      </c>
      <c r="F33" s="79">
        <v>1</v>
      </c>
      <c r="G33" s="112">
        <v>1</v>
      </c>
      <c r="H33" s="113">
        <v>1</v>
      </c>
      <c r="I33" s="114">
        <v>1</v>
      </c>
      <c r="J33" s="112">
        <v>0</v>
      </c>
      <c r="K33" s="113">
        <v>0</v>
      </c>
      <c r="L33" s="114">
        <v>0</v>
      </c>
      <c r="M33" s="112">
        <v>0</v>
      </c>
      <c r="N33" s="113">
        <v>0</v>
      </c>
      <c r="O33" s="115">
        <v>0</v>
      </c>
    </row>
    <row r="34" spans="2:15">
      <c r="B34" s="71">
        <v>28</v>
      </c>
      <c r="C34" s="74" t="s">
        <v>61</v>
      </c>
      <c r="D34" s="70">
        <v>1</v>
      </c>
      <c r="E34" s="69">
        <v>1</v>
      </c>
      <c r="F34" s="79">
        <v>1</v>
      </c>
      <c r="G34" s="112">
        <v>1</v>
      </c>
      <c r="H34" s="113">
        <v>1</v>
      </c>
      <c r="I34" s="114">
        <v>1</v>
      </c>
      <c r="J34" s="112">
        <v>0</v>
      </c>
      <c r="K34" s="113">
        <v>0</v>
      </c>
      <c r="L34" s="114">
        <v>0</v>
      </c>
      <c r="M34" s="112">
        <v>0</v>
      </c>
      <c r="N34" s="113">
        <v>0</v>
      </c>
      <c r="O34" s="115">
        <v>0</v>
      </c>
    </row>
    <row r="35" spans="2:15">
      <c r="B35" s="71">
        <v>29</v>
      </c>
      <c r="C35" s="74" t="s">
        <v>152</v>
      </c>
      <c r="D35" s="70">
        <v>1</v>
      </c>
      <c r="E35" s="69">
        <v>0</v>
      </c>
      <c r="F35" s="79">
        <v>1</v>
      </c>
      <c r="G35" s="112">
        <v>1</v>
      </c>
      <c r="H35" s="113">
        <v>0</v>
      </c>
      <c r="I35" s="114">
        <v>0</v>
      </c>
      <c r="J35" s="112">
        <v>0</v>
      </c>
      <c r="K35" s="113">
        <v>0</v>
      </c>
      <c r="L35" s="114">
        <v>0</v>
      </c>
      <c r="M35" s="112">
        <v>0</v>
      </c>
      <c r="N35" s="113">
        <v>0</v>
      </c>
      <c r="O35" s="115">
        <v>0</v>
      </c>
    </row>
    <row r="36" spans="2:15">
      <c r="B36" s="71">
        <v>30</v>
      </c>
      <c r="C36" s="74" t="s">
        <v>62</v>
      </c>
      <c r="D36" s="70">
        <v>1</v>
      </c>
      <c r="E36" s="69">
        <v>1</v>
      </c>
      <c r="F36" s="79">
        <v>1</v>
      </c>
      <c r="G36" s="112">
        <v>1</v>
      </c>
      <c r="H36" s="113">
        <v>1</v>
      </c>
      <c r="I36" s="114">
        <v>1</v>
      </c>
      <c r="J36" s="112">
        <v>0</v>
      </c>
      <c r="K36" s="113">
        <v>0</v>
      </c>
      <c r="L36" s="114">
        <v>0</v>
      </c>
      <c r="M36" s="112">
        <v>0</v>
      </c>
      <c r="N36" s="113">
        <v>0</v>
      </c>
      <c r="O36" s="115">
        <v>0</v>
      </c>
    </row>
    <row r="37" spans="2:15">
      <c r="B37" s="58">
        <v>31</v>
      </c>
      <c r="C37" s="75" t="s">
        <v>63</v>
      </c>
      <c r="D37" s="158">
        <v>0</v>
      </c>
      <c r="E37" s="159">
        <v>1</v>
      </c>
      <c r="F37" s="163">
        <v>1</v>
      </c>
      <c r="G37" s="160">
        <v>1</v>
      </c>
      <c r="H37" s="161">
        <v>1</v>
      </c>
      <c r="I37" s="164">
        <v>1</v>
      </c>
      <c r="J37" s="160">
        <v>0</v>
      </c>
      <c r="K37" s="161">
        <v>0</v>
      </c>
      <c r="L37" s="164">
        <v>0</v>
      </c>
      <c r="M37" s="160">
        <v>0</v>
      </c>
      <c r="N37" s="161">
        <v>0</v>
      </c>
      <c r="O37" s="138">
        <v>0</v>
      </c>
    </row>
    <row r="38" spans="2:15">
      <c r="D38" s="1">
        <f>SUM(D8:D37)</f>
        <v>21</v>
      </c>
      <c r="E38" s="1">
        <f>SUM(E8:E37)</f>
        <v>21</v>
      </c>
      <c r="F38" s="1">
        <f>SUM(F8:F37)</f>
        <v>23</v>
      </c>
      <c r="G38" s="1">
        <f>SUM(G8:G37)</f>
        <v>23</v>
      </c>
      <c r="H38" s="1">
        <f>SUM(H8:H37)</f>
        <v>23</v>
      </c>
      <c r="I38" s="1">
        <f>SUM(I8:I37)</f>
        <v>19</v>
      </c>
      <c r="J38" s="1">
        <f>SUM(J8:J37)</f>
        <v>0</v>
      </c>
      <c r="K38" s="1">
        <f>SUM(K8:K37)</f>
        <v>0</v>
      </c>
      <c r="L38" s="1">
        <f>SUM(L8:L37)</f>
        <v>0</v>
      </c>
      <c r="M38" s="1">
        <f>SUM(M8:M37)</f>
        <v>0</v>
      </c>
      <c r="N38" s="1">
        <f>SUM(N8:N37)</f>
        <v>0</v>
      </c>
      <c r="O38" s="1">
        <f>SUM(O8:O37)</f>
        <v>0</v>
      </c>
    </row>
    <row r="40" spans="2:15" ht="15.75" customHeight="1">
      <c r="B40" s="262" t="s">
        <v>153</v>
      </c>
      <c r="C40" s="262"/>
      <c r="D40" s="262"/>
    </row>
    <row r="41" spans="2:15">
      <c r="B41" s="263" t="s">
        <v>154</v>
      </c>
      <c r="C41" s="263"/>
      <c r="D41" s="263"/>
    </row>
    <row r="42" spans="2:15">
      <c r="B42" s="264" t="s">
        <v>155</v>
      </c>
      <c r="C42" s="264"/>
      <c r="D42" s="264"/>
    </row>
    <row r="43" spans="2:15">
      <c r="B43" s="83"/>
    </row>
    <row r="44" spans="2:15">
      <c r="B44" s="46"/>
    </row>
    <row r="45" spans="2:15">
      <c r="C45" s="116"/>
    </row>
  </sheetData>
  <mergeCells count="10">
    <mergeCell ref="B40:D40"/>
    <mergeCell ref="B41:D41"/>
    <mergeCell ref="B42:D42"/>
    <mergeCell ref="C4:C7"/>
    <mergeCell ref="B4:B7"/>
    <mergeCell ref="D2:O2"/>
    <mergeCell ref="D3:F3"/>
    <mergeCell ref="G3:I3"/>
    <mergeCell ref="J3:L3"/>
    <mergeCell ref="M3: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B6C0-CA8F-40AC-A037-68C4713CFDB6}">
  <dimension ref="B2:H42"/>
  <sheetViews>
    <sheetView topLeftCell="A33" workbookViewId="0">
      <selection activeCell="H44" sqref="H44"/>
    </sheetView>
  </sheetViews>
  <sheetFormatPr defaultRowHeight="15"/>
  <cols>
    <col min="2" max="2" width="7.7109375" customWidth="1"/>
    <col min="3" max="3" width="18.42578125" customWidth="1"/>
    <col min="4" max="4" width="16.7109375" style="19" customWidth="1"/>
    <col min="5" max="7" width="16.7109375" customWidth="1"/>
  </cols>
  <sheetData>
    <row r="2" spans="2:8" ht="18.75">
      <c r="D2" s="274" t="s">
        <v>24</v>
      </c>
      <c r="E2" s="275"/>
      <c r="F2" s="275"/>
      <c r="G2" s="276"/>
    </row>
    <row r="3" spans="2:8" s="1" customFormat="1">
      <c r="B3" s="119" t="s">
        <v>29</v>
      </c>
      <c r="C3" s="118" t="s">
        <v>30</v>
      </c>
      <c r="D3" s="270" t="s">
        <v>156</v>
      </c>
      <c r="E3" s="271"/>
      <c r="F3" s="272" t="s">
        <v>71</v>
      </c>
      <c r="G3" s="273"/>
    </row>
    <row r="4" spans="2:8">
      <c r="B4" s="57">
        <v>1</v>
      </c>
      <c r="C4" s="74" t="s">
        <v>34</v>
      </c>
      <c r="D4" s="141">
        <v>0</v>
      </c>
      <c r="E4" s="139">
        <v>0</v>
      </c>
      <c r="F4" s="141">
        <v>0</v>
      </c>
      <c r="G4" s="115">
        <v>0</v>
      </c>
    </row>
    <row r="5" spans="2:8">
      <c r="B5" s="57">
        <v>2</v>
      </c>
      <c r="C5" s="74" t="s">
        <v>149</v>
      </c>
      <c r="D5" s="141">
        <v>0</v>
      </c>
      <c r="E5" s="139">
        <v>0</v>
      </c>
      <c r="F5" s="141">
        <v>0</v>
      </c>
      <c r="G5" s="115">
        <v>0</v>
      </c>
    </row>
    <row r="6" spans="2:8">
      <c r="B6" s="57">
        <v>3</v>
      </c>
      <c r="C6" s="74" t="s">
        <v>36</v>
      </c>
      <c r="D6" s="141">
        <v>0</v>
      </c>
      <c r="E6" s="139">
        <v>0</v>
      </c>
      <c r="F6" s="141">
        <v>0</v>
      </c>
      <c r="G6" s="115">
        <v>0</v>
      </c>
      <c r="H6" s="117"/>
    </row>
    <row r="7" spans="2:8">
      <c r="B7" s="57">
        <v>4</v>
      </c>
      <c r="C7" s="74" t="s">
        <v>38</v>
      </c>
      <c r="D7" s="141">
        <v>0</v>
      </c>
      <c r="E7" s="139">
        <v>0</v>
      </c>
      <c r="F7" s="141">
        <v>500</v>
      </c>
      <c r="G7" s="143">
        <v>45751</v>
      </c>
    </row>
    <row r="8" spans="2:8">
      <c r="B8" s="57">
        <v>5</v>
      </c>
      <c r="C8" s="74" t="s">
        <v>39</v>
      </c>
      <c r="D8" s="141">
        <v>0</v>
      </c>
      <c r="E8" s="139">
        <v>0</v>
      </c>
      <c r="F8" s="141">
        <v>0</v>
      </c>
      <c r="G8" s="115">
        <v>0</v>
      </c>
    </row>
    <row r="9" spans="2:8">
      <c r="B9" s="57">
        <v>6</v>
      </c>
      <c r="C9" s="74" t="s">
        <v>40</v>
      </c>
      <c r="D9" s="141">
        <v>0</v>
      </c>
      <c r="E9" s="139">
        <v>0</v>
      </c>
      <c r="F9" s="141">
        <v>500</v>
      </c>
      <c r="G9" s="143">
        <v>45751</v>
      </c>
    </row>
    <row r="10" spans="2:8">
      <c r="B10" s="57">
        <v>7</v>
      </c>
      <c r="C10" s="74" t="s">
        <v>41</v>
      </c>
      <c r="D10" s="141">
        <v>0</v>
      </c>
      <c r="E10" s="139">
        <v>0</v>
      </c>
      <c r="F10" s="141">
        <v>0</v>
      </c>
      <c r="G10" s="115">
        <v>0</v>
      </c>
    </row>
    <row r="11" spans="2:8">
      <c r="B11" s="57">
        <v>8</v>
      </c>
      <c r="C11" s="74" t="s">
        <v>42</v>
      </c>
      <c r="D11" s="141">
        <v>0</v>
      </c>
      <c r="E11" s="139">
        <v>0</v>
      </c>
      <c r="F11" s="141">
        <v>0</v>
      </c>
      <c r="G11" s="115">
        <v>0</v>
      </c>
    </row>
    <row r="12" spans="2:8">
      <c r="B12" s="57">
        <v>9</v>
      </c>
      <c r="C12" s="74" t="s">
        <v>43</v>
      </c>
      <c r="D12" s="141">
        <v>0</v>
      </c>
      <c r="E12" s="139">
        <v>0</v>
      </c>
      <c r="F12" s="141">
        <v>500</v>
      </c>
      <c r="G12" s="143">
        <v>45751</v>
      </c>
    </row>
    <row r="13" spans="2:8">
      <c r="B13" s="57">
        <v>10</v>
      </c>
      <c r="C13" s="74" t="s">
        <v>44</v>
      </c>
      <c r="D13" s="141">
        <v>0</v>
      </c>
      <c r="E13" s="139">
        <v>0</v>
      </c>
      <c r="F13" s="141">
        <v>0</v>
      </c>
      <c r="G13" s="115">
        <v>0</v>
      </c>
    </row>
    <row r="14" spans="2:8">
      <c r="B14" s="57">
        <v>11</v>
      </c>
      <c r="C14" s="74" t="s">
        <v>45</v>
      </c>
      <c r="D14" s="141">
        <v>0</v>
      </c>
      <c r="E14" s="139">
        <v>0</v>
      </c>
      <c r="F14" s="141">
        <v>0</v>
      </c>
      <c r="G14" s="115">
        <v>0</v>
      </c>
    </row>
    <row r="15" spans="2:8">
      <c r="B15" s="57">
        <v>12</v>
      </c>
      <c r="C15" s="74" t="s">
        <v>46</v>
      </c>
      <c r="D15" s="141">
        <v>0</v>
      </c>
      <c r="E15" s="139">
        <v>0</v>
      </c>
      <c r="F15" s="151">
        <v>1000</v>
      </c>
      <c r="G15" s="152">
        <v>45751</v>
      </c>
    </row>
    <row r="16" spans="2:8">
      <c r="B16" s="57">
        <v>13</v>
      </c>
      <c r="C16" s="74" t="s">
        <v>47</v>
      </c>
      <c r="D16" s="151">
        <v>1700</v>
      </c>
      <c r="E16" s="152">
        <v>45747</v>
      </c>
      <c r="F16" s="151">
        <v>1000</v>
      </c>
      <c r="G16" s="152">
        <v>45747</v>
      </c>
    </row>
    <row r="17" spans="2:7">
      <c r="B17" s="57">
        <v>14</v>
      </c>
      <c r="C17" s="74" t="s">
        <v>48</v>
      </c>
      <c r="D17" s="141">
        <v>0</v>
      </c>
      <c r="E17" s="139">
        <v>0</v>
      </c>
      <c r="F17" s="141">
        <v>0</v>
      </c>
      <c r="G17" s="115">
        <v>0</v>
      </c>
    </row>
    <row r="18" spans="2:7">
      <c r="B18" s="57">
        <v>16</v>
      </c>
      <c r="C18" s="74" t="s">
        <v>49</v>
      </c>
      <c r="D18" s="151">
        <v>1700</v>
      </c>
      <c r="E18" s="152">
        <v>45751</v>
      </c>
      <c r="F18" s="151">
        <v>1000</v>
      </c>
      <c r="G18" s="152">
        <v>45751</v>
      </c>
    </row>
    <row r="19" spans="2:7">
      <c r="B19" s="57">
        <v>17</v>
      </c>
      <c r="C19" s="74" t="s">
        <v>50</v>
      </c>
      <c r="D19" s="141">
        <v>0</v>
      </c>
      <c r="E19" s="139">
        <v>0</v>
      </c>
      <c r="F19" s="141">
        <v>0</v>
      </c>
      <c r="G19" s="115">
        <v>0</v>
      </c>
    </row>
    <row r="20" spans="2:7">
      <c r="B20" s="57">
        <v>18</v>
      </c>
      <c r="C20" s="74" t="s">
        <v>51</v>
      </c>
      <c r="D20" s="141">
        <v>0</v>
      </c>
      <c r="E20" s="139">
        <v>0</v>
      </c>
      <c r="F20" s="141">
        <v>500</v>
      </c>
      <c r="G20" s="143">
        <v>45755</v>
      </c>
    </row>
    <row r="21" spans="2:7">
      <c r="B21" s="57">
        <v>19</v>
      </c>
      <c r="C21" s="74" t="s">
        <v>157</v>
      </c>
      <c r="D21" s="141">
        <v>0</v>
      </c>
      <c r="E21" s="139">
        <v>0</v>
      </c>
      <c r="F21" s="141">
        <v>0</v>
      </c>
      <c r="G21" s="115">
        <v>0</v>
      </c>
    </row>
    <row r="22" spans="2:7">
      <c r="B22" s="57">
        <v>20</v>
      </c>
      <c r="C22" s="74" t="s">
        <v>158</v>
      </c>
      <c r="D22" s="141">
        <v>0</v>
      </c>
      <c r="E22" s="139">
        <v>0</v>
      </c>
      <c r="F22" s="141">
        <v>0</v>
      </c>
      <c r="G22" s="115">
        <v>0</v>
      </c>
    </row>
    <row r="23" spans="2:7">
      <c r="B23" s="57">
        <v>21</v>
      </c>
      <c r="C23" s="74" t="s">
        <v>159</v>
      </c>
      <c r="D23" s="141">
        <v>0</v>
      </c>
      <c r="E23" s="139">
        <v>0</v>
      </c>
      <c r="F23" s="141">
        <v>0</v>
      </c>
      <c r="G23" s="115">
        <v>0</v>
      </c>
    </row>
    <row r="24" spans="2:7">
      <c r="B24" s="71">
        <v>22</v>
      </c>
      <c r="C24" s="74" t="s">
        <v>151</v>
      </c>
      <c r="D24" s="141">
        <v>0</v>
      </c>
      <c r="E24" s="139">
        <v>0</v>
      </c>
      <c r="F24" s="141">
        <v>0</v>
      </c>
      <c r="G24" s="115">
        <v>0</v>
      </c>
    </row>
    <row r="25" spans="2:7">
      <c r="B25" s="71">
        <v>23</v>
      </c>
      <c r="C25" s="74" t="s">
        <v>56</v>
      </c>
      <c r="D25" s="141">
        <v>0</v>
      </c>
      <c r="E25" s="139">
        <v>0</v>
      </c>
      <c r="F25" s="141">
        <v>0</v>
      </c>
      <c r="G25" s="115">
        <v>0</v>
      </c>
    </row>
    <row r="26" spans="2:7">
      <c r="B26" s="71">
        <v>24</v>
      </c>
      <c r="C26" s="74" t="s">
        <v>57</v>
      </c>
      <c r="D26" s="141">
        <v>0</v>
      </c>
      <c r="E26" s="139">
        <v>0</v>
      </c>
      <c r="F26" s="141">
        <v>0</v>
      </c>
      <c r="G26" s="115">
        <v>0</v>
      </c>
    </row>
    <row r="27" spans="2:7">
      <c r="B27" s="71">
        <v>25</v>
      </c>
      <c r="C27" s="74" t="s">
        <v>58</v>
      </c>
      <c r="D27" s="141">
        <v>0</v>
      </c>
      <c r="E27" s="139">
        <v>0</v>
      </c>
      <c r="F27" s="141">
        <v>0</v>
      </c>
      <c r="G27" s="115">
        <v>0</v>
      </c>
    </row>
    <row r="28" spans="2:7">
      <c r="B28" s="71">
        <v>26</v>
      </c>
      <c r="C28" s="74" t="s">
        <v>59</v>
      </c>
      <c r="D28" s="141">
        <v>0</v>
      </c>
      <c r="E28" s="139">
        <v>0</v>
      </c>
      <c r="F28" s="141">
        <v>400</v>
      </c>
      <c r="G28" s="143">
        <v>45751</v>
      </c>
    </row>
    <row r="29" spans="2:7">
      <c r="B29" s="71">
        <v>27</v>
      </c>
      <c r="C29" s="74" t="s">
        <v>60</v>
      </c>
      <c r="D29" s="141">
        <v>0</v>
      </c>
      <c r="E29" s="139">
        <v>0</v>
      </c>
      <c r="F29" s="141">
        <v>500</v>
      </c>
      <c r="G29" s="143">
        <v>45759</v>
      </c>
    </row>
    <row r="30" spans="2:7">
      <c r="B30" s="71">
        <v>28</v>
      </c>
      <c r="C30" s="74" t="s">
        <v>61</v>
      </c>
      <c r="D30" s="141">
        <v>0</v>
      </c>
      <c r="E30" s="139">
        <v>0</v>
      </c>
      <c r="F30" s="141">
        <v>0</v>
      </c>
      <c r="G30" s="115">
        <v>0</v>
      </c>
    </row>
    <row r="31" spans="2:7">
      <c r="B31" s="71">
        <v>29</v>
      </c>
      <c r="C31" s="74" t="s">
        <v>152</v>
      </c>
      <c r="D31" s="141">
        <v>0</v>
      </c>
      <c r="E31" s="139">
        <v>0</v>
      </c>
      <c r="F31" s="141">
        <v>400</v>
      </c>
      <c r="G31" s="143">
        <v>45751</v>
      </c>
    </row>
    <row r="32" spans="2:7">
      <c r="B32" s="71">
        <v>30</v>
      </c>
      <c r="C32" s="74" t="s">
        <v>62</v>
      </c>
      <c r="D32" s="141">
        <v>0</v>
      </c>
      <c r="E32" s="139">
        <v>0</v>
      </c>
      <c r="F32" s="151">
        <v>1000</v>
      </c>
      <c r="G32" s="152">
        <v>45748</v>
      </c>
    </row>
    <row r="33" spans="2:7">
      <c r="B33" s="58">
        <v>31</v>
      </c>
      <c r="C33" s="75" t="s">
        <v>63</v>
      </c>
      <c r="D33" s="142">
        <v>0</v>
      </c>
      <c r="E33" s="140">
        <v>0</v>
      </c>
      <c r="F33" s="142">
        <v>0</v>
      </c>
      <c r="G33" s="138">
        <v>0</v>
      </c>
    </row>
    <row r="34" spans="2:7">
      <c r="D34" s="37">
        <f>SUM(D4:D33)</f>
        <v>3400</v>
      </c>
      <c r="E34" s="1"/>
      <c r="F34" s="37">
        <f>SUM(F4:F33)</f>
        <v>7300</v>
      </c>
      <c r="G34" s="1"/>
    </row>
    <row r="35" spans="2:7">
      <c r="C35" t="s">
        <v>17</v>
      </c>
      <c r="D35" s="19">
        <f>D34+F34</f>
        <v>10700</v>
      </c>
    </row>
    <row r="36" spans="2:7">
      <c r="B36" s="46"/>
    </row>
    <row r="37" spans="2:7" ht="14.25" customHeight="1">
      <c r="C37" t="s">
        <v>160</v>
      </c>
      <c r="D37"/>
    </row>
    <row r="38" spans="2:7">
      <c r="C38" s="154">
        <v>45751</v>
      </c>
      <c r="D38" s="37">
        <v>1000</v>
      </c>
    </row>
    <row r="42" spans="2:7">
      <c r="C42" s="1" t="s">
        <v>17</v>
      </c>
      <c r="D42" s="19">
        <f>SUM(D38:D41)</f>
        <v>1000</v>
      </c>
    </row>
  </sheetData>
  <mergeCells count="3">
    <mergeCell ref="D3:E3"/>
    <mergeCell ref="F3:G3"/>
    <mergeCell ref="D2:G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31F7-DE49-4152-B5E7-D5DB1C98F750}">
  <dimension ref="A1:I9"/>
  <sheetViews>
    <sheetView workbookViewId="0">
      <selection activeCell="I4" sqref="I4"/>
    </sheetView>
  </sheetViews>
  <sheetFormatPr defaultRowHeight="15"/>
  <cols>
    <col min="3" max="3" width="14.5703125" customWidth="1"/>
    <col min="4" max="4" width="11.5703125" bestFit="1" customWidth="1"/>
    <col min="5" max="5" width="13.5703125" customWidth="1"/>
    <col min="6" max="6" width="11.5703125" customWidth="1"/>
  </cols>
  <sheetData>
    <row r="1" spans="1:9">
      <c r="A1" s="14"/>
      <c r="B1" s="14"/>
      <c r="C1" s="14"/>
      <c r="D1" s="14"/>
      <c r="E1" s="14"/>
      <c r="F1" s="14"/>
      <c r="G1" s="14"/>
      <c r="H1" s="14"/>
      <c r="I1" s="14"/>
    </row>
    <row r="2" spans="1:9" ht="32.25" customHeight="1">
      <c r="A2" s="14"/>
      <c r="B2" s="14"/>
      <c r="C2" s="148" t="s">
        <v>71</v>
      </c>
      <c r="D2" s="148" t="s">
        <v>156</v>
      </c>
      <c r="E2" s="149" t="s">
        <v>161</v>
      </c>
      <c r="F2" s="149" t="s">
        <v>162</v>
      </c>
      <c r="G2" s="14"/>
      <c r="H2" s="14"/>
      <c r="I2" s="14"/>
    </row>
    <row r="3" spans="1:9">
      <c r="A3" s="14"/>
      <c r="B3" s="14"/>
      <c r="C3" s="136">
        <v>1600</v>
      </c>
      <c r="D3" s="136">
        <v>3000</v>
      </c>
      <c r="E3" s="136">
        <v>130</v>
      </c>
      <c r="F3" s="136">
        <v>140</v>
      </c>
      <c r="G3" s="14"/>
      <c r="H3" s="14"/>
      <c r="I3" s="14"/>
    </row>
    <row r="4" spans="1:9">
      <c r="A4" s="14"/>
      <c r="B4" s="14"/>
      <c r="C4" s="14"/>
      <c r="D4" s="14"/>
      <c r="E4" s="14"/>
      <c r="F4" s="14"/>
      <c r="G4" s="14"/>
      <c r="H4" s="14"/>
      <c r="I4" s="14"/>
    </row>
    <row r="5" spans="1:9" ht="18" customHeight="1">
      <c r="A5" s="14"/>
      <c r="B5" s="14"/>
      <c r="C5" s="277" t="s">
        <v>163</v>
      </c>
      <c r="D5" s="277"/>
      <c r="E5" s="277"/>
      <c r="F5" s="277"/>
      <c r="G5" s="14"/>
      <c r="H5" s="14"/>
      <c r="I5" s="14"/>
    </row>
    <row r="6" spans="1:9" ht="27" customHeight="1">
      <c r="A6" s="14"/>
      <c r="B6" s="14"/>
      <c r="C6" s="278" t="s">
        <v>164</v>
      </c>
      <c r="D6" s="278"/>
      <c r="E6" s="278"/>
      <c r="F6" s="278"/>
      <c r="G6" s="14"/>
      <c r="H6" s="14"/>
      <c r="I6" s="14"/>
    </row>
    <row r="7" spans="1:9">
      <c r="A7" s="14"/>
      <c r="B7" s="14"/>
      <c r="C7" s="14"/>
      <c r="D7" s="14"/>
      <c r="E7" s="14"/>
      <c r="F7" s="14"/>
      <c r="G7" s="14"/>
      <c r="H7" s="14"/>
      <c r="I7" s="14"/>
    </row>
    <row r="8" spans="1:9">
      <c r="A8" s="14"/>
      <c r="B8" s="14"/>
      <c r="C8" s="14"/>
      <c r="D8" s="14"/>
      <c r="E8" s="14"/>
      <c r="F8" s="14"/>
      <c r="G8" s="14"/>
      <c r="H8" s="14"/>
      <c r="I8" s="14"/>
    </row>
    <row r="9" spans="1:9">
      <c r="A9" s="14"/>
      <c r="B9" s="14"/>
    </row>
  </sheetData>
  <mergeCells count="2">
    <mergeCell ref="C5:F5"/>
    <mergeCell ref="C6: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05B1-3143-4FB6-81C9-C61458822663}">
  <dimension ref="A1:Y20"/>
  <sheetViews>
    <sheetView workbookViewId="0">
      <selection activeCell="H19" sqref="H19"/>
    </sheetView>
  </sheetViews>
  <sheetFormatPr defaultRowHeight="15"/>
  <cols>
    <col min="2" max="2" width="19" style="46" customWidth="1"/>
    <col min="3" max="3" width="18.140625" style="46" customWidth="1"/>
    <col min="7" max="7" width="42.28515625" customWidth="1"/>
    <col min="8" max="8" width="24" style="1" customWidth="1"/>
  </cols>
  <sheetData>
    <row r="1" spans="1:25" ht="18" customHeight="1">
      <c r="A1" s="84" t="s">
        <v>165</v>
      </c>
      <c r="B1" s="97" t="s">
        <v>166</v>
      </c>
      <c r="C1" s="97" t="s">
        <v>167</v>
      </c>
      <c r="D1" s="85" t="s">
        <v>168</v>
      </c>
      <c r="E1" s="85" t="s">
        <v>169</v>
      </c>
      <c r="F1" s="85" t="s">
        <v>170</v>
      </c>
      <c r="G1" s="85" t="s">
        <v>171</v>
      </c>
      <c r="H1" s="85" t="s">
        <v>172</v>
      </c>
      <c r="I1" s="85" t="s">
        <v>173</v>
      </c>
      <c r="J1" s="85" t="s">
        <v>174</v>
      </c>
      <c r="K1" s="85" t="s">
        <v>175</v>
      </c>
      <c r="L1" s="85" t="s">
        <v>176</v>
      </c>
      <c r="M1" s="85" t="s">
        <v>177</v>
      </c>
      <c r="N1" s="85" t="s">
        <v>178</v>
      </c>
      <c r="O1" s="85" t="s">
        <v>179</v>
      </c>
      <c r="P1" s="85" t="s">
        <v>180</v>
      </c>
      <c r="Q1" s="85" t="s">
        <v>181</v>
      </c>
      <c r="R1" s="85" t="s">
        <v>182</v>
      </c>
      <c r="S1" s="85" t="s">
        <v>183</v>
      </c>
      <c r="T1" s="85" t="s">
        <v>184</v>
      </c>
      <c r="U1" s="85" t="s">
        <v>185</v>
      </c>
      <c r="V1" s="85" t="s">
        <v>186</v>
      </c>
      <c r="W1" s="85" t="s">
        <v>187</v>
      </c>
      <c r="X1" s="85" t="s">
        <v>188</v>
      </c>
      <c r="Y1" s="86" t="s">
        <v>189</v>
      </c>
    </row>
    <row r="2" spans="1:25" ht="18" customHeight="1">
      <c r="A2" s="87">
        <v>1</v>
      </c>
      <c r="B2" s="98" t="s">
        <v>190</v>
      </c>
      <c r="C2" s="98" t="s">
        <v>191</v>
      </c>
      <c r="D2" s="88" t="s">
        <v>192</v>
      </c>
      <c r="E2" s="88"/>
      <c r="F2" s="88"/>
      <c r="G2" s="88" t="s">
        <v>193</v>
      </c>
      <c r="H2" s="88" t="s">
        <v>194</v>
      </c>
      <c r="I2" s="88" t="s">
        <v>195</v>
      </c>
      <c r="J2" s="88" t="s">
        <v>196</v>
      </c>
      <c r="K2" s="88" t="s">
        <v>197</v>
      </c>
      <c r="L2" s="88">
        <v>10</v>
      </c>
      <c r="M2" s="88">
        <v>24</v>
      </c>
      <c r="N2" s="88" t="s">
        <v>198</v>
      </c>
      <c r="O2" s="88" t="s">
        <v>199</v>
      </c>
      <c r="P2" s="88" t="s">
        <v>200</v>
      </c>
      <c r="Q2" s="88" t="s">
        <v>201</v>
      </c>
      <c r="R2" s="89">
        <v>32449</v>
      </c>
      <c r="S2" s="88" t="s">
        <v>202</v>
      </c>
      <c r="T2" s="89">
        <v>31139</v>
      </c>
      <c r="U2" s="88">
        <v>5559465611</v>
      </c>
      <c r="V2" s="88" t="s">
        <v>203</v>
      </c>
      <c r="W2" s="88" t="s">
        <v>204</v>
      </c>
      <c r="X2" s="88" t="s">
        <v>205</v>
      </c>
      <c r="Y2" s="90" t="s">
        <v>206</v>
      </c>
    </row>
    <row r="3" spans="1:25" ht="18" customHeight="1">
      <c r="A3" s="91">
        <v>2</v>
      </c>
      <c r="B3" s="99" t="s">
        <v>207</v>
      </c>
      <c r="C3" s="99" t="s">
        <v>208</v>
      </c>
      <c r="D3" s="92" t="s">
        <v>192</v>
      </c>
      <c r="E3" s="92"/>
      <c r="F3" s="92"/>
      <c r="G3" s="92" t="s">
        <v>209</v>
      </c>
      <c r="H3" s="92" t="s">
        <v>210</v>
      </c>
      <c r="I3" s="92" t="s">
        <v>211</v>
      </c>
      <c r="J3" s="92" t="s">
        <v>212</v>
      </c>
      <c r="K3" s="92" t="s">
        <v>213</v>
      </c>
      <c r="L3" s="92" t="s">
        <v>214</v>
      </c>
      <c r="M3" s="93">
        <v>28300</v>
      </c>
      <c r="N3" s="92" t="s">
        <v>215</v>
      </c>
      <c r="O3" s="92" t="s">
        <v>216</v>
      </c>
      <c r="P3" s="92" t="s">
        <v>200</v>
      </c>
      <c r="Q3" s="92" t="s">
        <v>217</v>
      </c>
      <c r="R3" s="92" t="s">
        <v>218</v>
      </c>
      <c r="S3" s="92" t="s">
        <v>219</v>
      </c>
      <c r="T3" s="92" t="s">
        <v>220</v>
      </c>
      <c r="U3" s="92">
        <v>5536672637</v>
      </c>
      <c r="V3" s="92" t="s">
        <v>221</v>
      </c>
      <c r="W3" s="92" t="s">
        <v>222</v>
      </c>
      <c r="X3" s="94" t="s">
        <v>223</v>
      </c>
      <c r="Y3" s="95" t="s">
        <v>224</v>
      </c>
    </row>
    <row r="4" spans="1:25" ht="18" customHeight="1">
      <c r="A4" s="87">
        <v>3</v>
      </c>
      <c r="B4" s="98" t="s">
        <v>225</v>
      </c>
      <c r="C4" s="98" t="s">
        <v>226</v>
      </c>
      <c r="D4" s="88" t="s">
        <v>192</v>
      </c>
      <c r="E4" s="88"/>
      <c r="F4" s="88"/>
      <c r="G4" s="88" t="s">
        <v>227</v>
      </c>
      <c r="H4" s="88" t="s">
        <v>228</v>
      </c>
      <c r="I4" s="88" t="s">
        <v>229</v>
      </c>
      <c r="J4" s="88" t="s">
        <v>230</v>
      </c>
      <c r="K4" s="88" t="s">
        <v>231</v>
      </c>
      <c r="L4" s="88" t="s">
        <v>232</v>
      </c>
      <c r="M4" s="88">
        <v>47</v>
      </c>
      <c r="N4" s="88" t="s">
        <v>215</v>
      </c>
      <c r="O4" s="88" t="s">
        <v>233</v>
      </c>
      <c r="P4" s="88" t="s">
        <v>200</v>
      </c>
      <c r="Q4" s="88" t="s">
        <v>234</v>
      </c>
      <c r="R4" s="88" t="s">
        <v>235</v>
      </c>
      <c r="S4" s="88" t="s">
        <v>236</v>
      </c>
      <c r="T4" s="89">
        <v>29437</v>
      </c>
      <c r="U4" s="88">
        <v>5512468470</v>
      </c>
      <c r="V4" s="88" t="s">
        <v>237</v>
      </c>
      <c r="W4" s="88" t="s">
        <v>238</v>
      </c>
      <c r="X4" s="39" t="s">
        <v>239</v>
      </c>
      <c r="Y4" s="90" t="s">
        <v>240</v>
      </c>
    </row>
    <row r="5" spans="1:25" ht="18" customHeight="1">
      <c r="A5" s="91">
        <v>4</v>
      </c>
      <c r="B5" s="99" t="s">
        <v>241</v>
      </c>
      <c r="C5" s="99" t="s">
        <v>242</v>
      </c>
      <c r="D5" s="92" t="s">
        <v>192</v>
      </c>
      <c r="E5" s="92"/>
      <c r="F5" s="92"/>
      <c r="G5" s="92" t="s">
        <v>243</v>
      </c>
      <c r="H5" s="92" t="s">
        <v>244</v>
      </c>
      <c r="I5" s="92" t="s">
        <v>245</v>
      </c>
      <c r="J5" s="92" t="s">
        <v>246</v>
      </c>
      <c r="K5" s="92" t="s">
        <v>247</v>
      </c>
      <c r="L5" s="92" t="s">
        <v>214</v>
      </c>
      <c r="M5" s="92" t="s">
        <v>248</v>
      </c>
      <c r="N5" s="92" t="s">
        <v>249</v>
      </c>
      <c r="O5" s="92" t="s">
        <v>215</v>
      </c>
      <c r="P5" s="92" t="s">
        <v>215</v>
      </c>
      <c r="Q5" s="92" t="s">
        <v>250</v>
      </c>
      <c r="R5" s="92" t="s">
        <v>251</v>
      </c>
      <c r="S5" s="92" t="s">
        <v>252</v>
      </c>
      <c r="T5" s="92" t="s">
        <v>253</v>
      </c>
      <c r="U5" s="92">
        <v>5517987922</v>
      </c>
      <c r="V5" s="92" t="s">
        <v>254</v>
      </c>
      <c r="W5" s="92" t="s">
        <v>255</v>
      </c>
      <c r="X5" s="94" t="s">
        <v>256</v>
      </c>
      <c r="Y5" s="95" t="s">
        <v>257</v>
      </c>
    </row>
    <row r="6" spans="1:25" ht="18" customHeight="1">
      <c r="A6" s="87">
        <v>5</v>
      </c>
      <c r="B6" s="98" t="s">
        <v>258</v>
      </c>
      <c r="C6" s="98" t="s">
        <v>259</v>
      </c>
      <c r="D6" s="88" t="s">
        <v>192</v>
      </c>
      <c r="E6" s="88"/>
      <c r="F6" s="88"/>
      <c r="G6" s="88" t="s">
        <v>260</v>
      </c>
      <c r="H6" s="110">
        <v>41955</v>
      </c>
      <c r="I6" s="88" t="s">
        <v>261</v>
      </c>
      <c r="J6" s="88" t="s">
        <v>262</v>
      </c>
      <c r="K6" s="88" t="s">
        <v>263</v>
      </c>
      <c r="L6" s="88" t="s">
        <v>264</v>
      </c>
      <c r="M6" s="88" t="s">
        <v>265</v>
      </c>
      <c r="N6" s="88" t="s">
        <v>266</v>
      </c>
      <c r="O6" s="88" t="s">
        <v>267</v>
      </c>
      <c r="P6" s="88" t="s">
        <v>200</v>
      </c>
      <c r="Q6" s="88" t="s">
        <v>268</v>
      </c>
      <c r="R6" s="89">
        <v>28374</v>
      </c>
      <c r="S6" s="88" t="s">
        <v>269</v>
      </c>
      <c r="T6" s="89">
        <v>28009</v>
      </c>
      <c r="U6" s="88" t="s">
        <v>270</v>
      </c>
      <c r="V6" s="88" t="s">
        <v>271</v>
      </c>
      <c r="W6" s="88" t="s">
        <v>272</v>
      </c>
      <c r="X6" s="88" t="s">
        <v>273</v>
      </c>
      <c r="Y6" s="90" t="s">
        <v>274</v>
      </c>
    </row>
    <row r="7" spans="1:25" ht="18" customHeight="1">
      <c r="A7" s="91">
        <v>6</v>
      </c>
      <c r="B7" s="99" t="s">
        <v>275</v>
      </c>
      <c r="C7" s="99" t="s">
        <v>276</v>
      </c>
      <c r="D7" s="92" t="s">
        <v>192</v>
      </c>
      <c r="E7" s="92"/>
      <c r="F7" s="92"/>
      <c r="G7" s="92" t="s">
        <v>277</v>
      </c>
      <c r="H7" s="96">
        <v>41467</v>
      </c>
      <c r="I7" s="92" t="s">
        <v>278</v>
      </c>
      <c r="J7" s="92" t="s">
        <v>279</v>
      </c>
      <c r="K7" s="92" t="s">
        <v>280</v>
      </c>
      <c r="L7" s="92">
        <v>155</v>
      </c>
      <c r="M7" s="92">
        <v>53</v>
      </c>
      <c r="N7" s="92" t="s">
        <v>281</v>
      </c>
      <c r="O7" s="92" t="s">
        <v>282</v>
      </c>
      <c r="P7" s="92" t="s">
        <v>215</v>
      </c>
      <c r="Q7" s="92" t="s">
        <v>283</v>
      </c>
      <c r="R7" s="96">
        <v>33941</v>
      </c>
      <c r="S7" s="92" t="s">
        <v>284</v>
      </c>
      <c r="T7" s="96">
        <v>24169</v>
      </c>
      <c r="U7" s="92">
        <v>5530536185</v>
      </c>
      <c r="V7" s="92" t="s">
        <v>285</v>
      </c>
      <c r="W7" s="92" t="s">
        <v>286</v>
      </c>
      <c r="X7" s="94" t="s">
        <v>287</v>
      </c>
      <c r="Y7" s="95" t="s">
        <v>288</v>
      </c>
    </row>
    <row r="8" spans="1:25" ht="18" customHeight="1">
      <c r="A8" s="87">
        <v>7</v>
      </c>
      <c r="B8" s="98" t="s">
        <v>289</v>
      </c>
      <c r="C8" s="98" t="s">
        <v>290</v>
      </c>
      <c r="D8" s="88" t="s">
        <v>192</v>
      </c>
      <c r="E8" s="88"/>
      <c r="F8" s="88"/>
      <c r="G8" s="88" t="s">
        <v>291</v>
      </c>
      <c r="H8" s="88" t="s">
        <v>292</v>
      </c>
      <c r="I8" s="88" t="s">
        <v>261</v>
      </c>
      <c r="J8" s="88" t="s">
        <v>293</v>
      </c>
      <c r="K8" s="88" t="s">
        <v>294</v>
      </c>
      <c r="L8" s="88" t="s">
        <v>295</v>
      </c>
      <c r="M8" s="88">
        <v>27</v>
      </c>
      <c r="N8" s="88" t="s">
        <v>296</v>
      </c>
      <c r="O8" s="88" t="s">
        <v>233</v>
      </c>
      <c r="P8" s="88" t="s">
        <v>200</v>
      </c>
      <c r="Q8" s="88" t="s">
        <v>297</v>
      </c>
      <c r="R8" s="89">
        <v>28618</v>
      </c>
      <c r="S8" s="88" t="s">
        <v>298</v>
      </c>
      <c r="T8" s="88" t="s">
        <v>299</v>
      </c>
      <c r="U8" s="88" t="s">
        <v>300</v>
      </c>
      <c r="V8" s="88" t="s">
        <v>301</v>
      </c>
      <c r="W8" s="88" t="s">
        <v>302</v>
      </c>
      <c r="X8" s="88" t="s">
        <v>303</v>
      </c>
      <c r="Y8" s="90" t="s">
        <v>304</v>
      </c>
    </row>
    <row r="9" spans="1:25" ht="18" customHeight="1">
      <c r="A9" s="91">
        <v>8</v>
      </c>
      <c r="B9" s="99" t="s">
        <v>305</v>
      </c>
      <c r="C9" s="99" t="s">
        <v>306</v>
      </c>
      <c r="D9" s="92" t="s">
        <v>192</v>
      </c>
      <c r="E9" s="92"/>
      <c r="F9" s="92"/>
      <c r="G9" s="92" t="s">
        <v>307</v>
      </c>
      <c r="H9" s="96">
        <v>42529</v>
      </c>
      <c r="I9" s="92" t="s">
        <v>261</v>
      </c>
      <c r="J9" s="92" t="s">
        <v>212</v>
      </c>
      <c r="K9" s="92" t="s">
        <v>197</v>
      </c>
      <c r="L9" s="92">
        <v>10</v>
      </c>
      <c r="M9" s="92" t="s">
        <v>308</v>
      </c>
      <c r="N9" s="92" t="s">
        <v>215</v>
      </c>
      <c r="O9" s="92" t="s">
        <v>215</v>
      </c>
      <c r="P9" s="92" t="s">
        <v>200</v>
      </c>
      <c r="Q9" s="92" t="s">
        <v>309</v>
      </c>
      <c r="R9" s="96">
        <v>34029</v>
      </c>
      <c r="S9" s="92" t="s">
        <v>310</v>
      </c>
      <c r="T9" s="92" t="s">
        <v>311</v>
      </c>
      <c r="U9" s="92" t="s">
        <v>312</v>
      </c>
      <c r="V9" s="92" t="s">
        <v>313</v>
      </c>
      <c r="W9" s="92" t="s">
        <v>314</v>
      </c>
      <c r="X9" s="94" t="s">
        <v>315</v>
      </c>
      <c r="Y9" s="95" t="s">
        <v>316</v>
      </c>
    </row>
    <row r="10" spans="1:25" ht="18" customHeight="1">
      <c r="A10" s="87">
        <v>9</v>
      </c>
      <c r="B10" s="98" t="s">
        <v>317</v>
      </c>
      <c r="C10" s="98" t="s">
        <v>318</v>
      </c>
      <c r="D10" s="88" t="s">
        <v>192</v>
      </c>
      <c r="E10" s="88"/>
      <c r="F10" s="88"/>
      <c r="G10" s="88" t="s">
        <v>319</v>
      </c>
      <c r="H10" s="88" t="s">
        <v>320</v>
      </c>
      <c r="I10" s="88" t="s">
        <v>229</v>
      </c>
      <c r="J10" s="88" t="s">
        <v>321</v>
      </c>
      <c r="K10" s="88">
        <v>6</v>
      </c>
      <c r="L10" s="88" t="s">
        <v>322</v>
      </c>
      <c r="M10" s="88">
        <v>44</v>
      </c>
      <c r="N10" s="88" t="s">
        <v>215</v>
      </c>
      <c r="O10" s="88" t="s">
        <v>215</v>
      </c>
      <c r="P10" s="88" t="s">
        <v>215</v>
      </c>
      <c r="Q10" s="88" t="s">
        <v>323</v>
      </c>
      <c r="R10" s="88" t="s">
        <v>324</v>
      </c>
      <c r="S10" s="88" t="s">
        <v>325</v>
      </c>
      <c r="T10" s="88" t="s">
        <v>326</v>
      </c>
      <c r="U10" s="88">
        <v>5619320744</v>
      </c>
      <c r="V10" s="88" t="s">
        <v>327</v>
      </c>
      <c r="W10" s="88" t="s">
        <v>328</v>
      </c>
      <c r="X10" s="88" t="s">
        <v>329</v>
      </c>
      <c r="Y10" s="90" t="s">
        <v>330</v>
      </c>
    </row>
    <row r="11" spans="1:25" ht="18" customHeight="1">
      <c r="A11" s="91">
        <v>10</v>
      </c>
      <c r="B11" s="99" t="s">
        <v>331</v>
      </c>
      <c r="C11" s="99" t="s">
        <v>332</v>
      </c>
      <c r="D11" s="92" t="s">
        <v>192</v>
      </c>
      <c r="E11" s="92"/>
      <c r="F11" s="92"/>
      <c r="G11" s="92" t="s">
        <v>333</v>
      </c>
      <c r="H11" s="92" t="s">
        <v>334</v>
      </c>
      <c r="I11" s="92" t="s">
        <v>335</v>
      </c>
      <c r="J11" s="92" t="s">
        <v>336</v>
      </c>
      <c r="K11" s="92" t="s">
        <v>337</v>
      </c>
      <c r="L11" s="92">
        <v>142</v>
      </c>
      <c r="M11" s="92">
        <v>42</v>
      </c>
      <c r="N11" s="92" t="s">
        <v>215</v>
      </c>
      <c r="O11" s="92" t="s">
        <v>215</v>
      </c>
      <c r="P11" s="92" t="s">
        <v>215</v>
      </c>
      <c r="Q11" s="92" t="s">
        <v>338</v>
      </c>
      <c r="R11" s="92" t="s">
        <v>339</v>
      </c>
      <c r="S11" s="92" t="s">
        <v>340</v>
      </c>
      <c r="T11" s="92" t="s">
        <v>341</v>
      </c>
      <c r="U11" s="92">
        <v>5518329647</v>
      </c>
      <c r="V11" s="92" t="s">
        <v>342</v>
      </c>
      <c r="W11" s="92" t="s">
        <v>343</v>
      </c>
      <c r="X11" s="94" t="s">
        <v>344</v>
      </c>
      <c r="Y11" s="95" t="s">
        <v>345</v>
      </c>
    </row>
    <row r="12" spans="1:25" ht="18" customHeight="1">
      <c r="A12" s="87">
        <v>11</v>
      </c>
      <c r="B12" s="98" t="s">
        <v>346</v>
      </c>
      <c r="C12" s="98" t="s">
        <v>347</v>
      </c>
      <c r="D12" s="88" t="s">
        <v>192</v>
      </c>
      <c r="E12" s="88"/>
      <c r="F12" s="88"/>
      <c r="G12" s="88" t="s">
        <v>348</v>
      </c>
      <c r="H12" s="88" t="s">
        <v>349</v>
      </c>
      <c r="I12" s="88" t="s">
        <v>350</v>
      </c>
      <c r="J12" s="88" t="s">
        <v>351</v>
      </c>
      <c r="K12" s="88" t="s">
        <v>352</v>
      </c>
      <c r="L12" s="88" t="s">
        <v>353</v>
      </c>
      <c r="M12" s="88" t="s">
        <v>354</v>
      </c>
      <c r="N12" s="88" t="s">
        <v>249</v>
      </c>
      <c r="O12" s="88" t="s">
        <v>233</v>
      </c>
      <c r="P12" s="88" t="s">
        <v>200</v>
      </c>
      <c r="Q12" s="88" t="s">
        <v>355</v>
      </c>
      <c r="R12" s="88" t="s">
        <v>356</v>
      </c>
      <c r="S12" s="88" t="s">
        <v>357</v>
      </c>
      <c r="T12" s="89">
        <v>28460</v>
      </c>
      <c r="U12" s="88">
        <v>5564529149</v>
      </c>
      <c r="V12" s="88" t="s">
        <v>358</v>
      </c>
      <c r="W12" s="88" t="s">
        <v>359</v>
      </c>
      <c r="X12" s="39" t="s">
        <v>360</v>
      </c>
      <c r="Y12" s="90" t="s">
        <v>361</v>
      </c>
    </row>
    <row r="13" spans="1:25" ht="18" customHeight="1">
      <c r="A13" s="91">
        <v>12</v>
      </c>
      <c r="B13" s="99" t="s">
        <v>362</v>
      </c>
      <c r="C13" s="99" t="s">
        <v>363</v>
      </c>
      <c r="D13" s="92" t="s">
        <v>192</v>
      </c>
      <c r="E13" s="92"/>
      <c r="F13" s="92"/>
      <c r="G13" s="92" t="s">
        <v>364</v>
      </c>
      <c r="H13" s="92" t="s">
        <v>365</v>
      </c>
      <c r="I13" s="92" t="s">
        <v>366</v>
      </c>
      <c r="J13" s="92" t="s">
        <v>367</v>
      </c>
      <c r="K13" s="92" t="s">
        <v>368</v>
      </c>
      <c r="L13" s="92">
        <v>147</v>
      </c>
      <c r="M13" s="92">
        <v>40</v>
      </c>
      <c r="N13" s="92" t="s">
        <v>215</v>
      </c>
      <c r="O13" s="92" t="s">
        <v>215</v>
      </c>
      <c r="P13" s="92" t="s">
        <v>215</v>
      </c>
      <c r="Q13" s="92" t="s">
        <v>369</v>
      </c>
      <c r="R13" s="92" t="s">
        <v>370</v>
      </c>
      <c r="S13" s="92" t="s">
        <v>371</v>
      </c>
      <c r="T13" s="92" t="s">
        <v>372</v>
      </c>
      <c r="U13" s="92">
        <v>5572452737</v>
      </c>
      <c r="V13" s="92" t="s">
        <v>373</v>
      </c>
      <c r="W13" s="94" t="s">
        <v>374</v>
      </c>
      <c r="X13" s="94" t="s">
        <v>375</v>
      </c>
      <c r="Y13" s="95" t="s">
        <v>376</v>
      </c>
    </row>
    <row r="14" spans="1:25" ht="18" customHeight="1">
      <c r="A14" s="87">
        <v>13</v>
      </c>
      <c r="B14" s="98" t="s">
        <v>377</v>
      </c>
      <c r="C14" s="98" t="s">
        <v>378</v>
      </c>
      <c r="D14" s="88" t="s">
        <v>192</v>
      </c>
      <c r="E14" s="88"/>
      <c r="F14" s="88"/>
      <c r="G14" s="88" t="s">
        <v>379</v>
      </c>
      <c r="H14" s="89">
        <v>42347</v>
      </c>
      <c r="I14" s="88" t="s">
        <v>380</v>
      </c>
      <c r="J14" s="88" t="s">
        <v>381</v>
      </c>
      <c r="K14" s="88" t="s">
        <v>382</v>
      </c>
      <c r="L14" s="88" t="s">
        <v>353</v>
      </c>
      <c r="M14" s="88">
        <v>33</v>
      </c>
      <c r="N14" s="88" t="s">
        <v>282</v>
      </c>
      <c r="O14" s="88" t="s">
        <v>383</v>
      </c>
      <c r="P14" s="88" t="s">
        <v>200</v>
      </c>
      <c r="Q14" s="88" t="s">
        <v>384</v>
      </c>
      <c r="R14" s="89">
        <v>33699</v>
      </c>
      <c r="S14" s="88" t="s">
        <v>385</v>
      </c>
      <c r="T14" s="88" t="s">
        <v>386</v>
      </c>
      <c r="U14" s="88" t="s">
        <v>387</v>
      </c>
      <c r="V14" s="88" t="s">
        <v>388</v>
      </c>
      <c r="W14" s="88" t="s">
        <v>389</v>
      </c>
      <c r="X14" s="88" t="s">
        <v>390</v>
      </c>
      <c r="Y14" s="90" t="s">
        <v>391</v>
      </c>
    </row>
    <row r="15" spans="1:25" ht="18" customHeight="1">
      <c r="A15" s="91">
        <v>14</v>
      </c>
      <c r="B15" s="100">
        <v>45302.471273148149</v>
      </c>
      <c r="C15" s="100">
        <v>45302.476712962962</v>
      </c>
      <c r="D15" s="92" t="s">
        <v>192</v>
      </c>
      <c r="E15" s="92"/>
      <c r="F15" s="92"/>
      <c r="G15" s="92" t="s">
        <v>392</v>
      </c>
      <c r="H15" s="92" t="s">
        <v>393</v>
      </c>
      <c r="I15" s="92" t="s">
        <v>394</v>
      </c>
      <c r="J15" s="92" t="s">
        <v>395</v>
      </c>
      <c r="K15" s="92" t="s">
        <v>396</v>
      </c>
      <c r="L15" s="92" t="s">
        <v>397</v>
      </c>
      <c r="M15" s="92">
        <v>50</v>
      </c>
      <c r="N15" s="92" t="s">
        <v>398</v>
      </c>
      <c r="O15" s="92" t="s">
        <v>215</v>
      </c>
      <c r="P15" s="92" t="s">
        <v>215</v>
      </c>
      <c r="Q15" s="92" t="s">
        <v>399</v>
      </c>
      <c r="R15" s="92" t="s">
        <v>400</v>
      </c>
      <c r="S15" s="92" t="s">
        <v>401</v>
      </c>
      <c r="T15" s="92" t="s">
        <v>402</v>
      </c>
      <c r="U15" s="92">
        <v>5543773246</v>
      </c>
      <c r="V15" s="92" t="s">
        <v>403</v>
      </c>
      <c r="W15" s="92" t="s">
        <v>249</v>
      </c>
      <c r="X15" s="94" t="s">
        <v>404</v>
      </c>
      <c r="Y15" s="95" t="s">
        <v>405</v>
      </c>
    </row>
    <row r="16" spans="1:25" ht="18" customHeight="1">
      <c r="A16" s="87">
        <v>15</v>
      </c>
      <c r="B16" s="98" t="s">
        <v>406</v>
      </c>
      <c r="C16" s="98" t="s">
        <v>407</v>
      </c>
      <c r="D16" s="88" t="s">
        <v>192</v>
      </c>
      <c r="E16" s="88"/>
      <c r="F16" s="88"/>
      <c r="G16" s="88" t="s">
        <v>408</v>
      </c>
      <c r="H16" s="88" t="s">
        <v>409</v>
      </c>
      <c r="I16" s="88" t="s">
        <v>350</v>
      </c>
      <c r="J16" s="88" t="s">
        <v>410</v>
      </c>
      <c r="K16" s="88" t="s">
        <v>411</v>
      </c>
      <c r="L16" s="88" t="s">
        <v>412</v>
      </c>
      <c r="M16" s="88">
        <v>26</v>
      </c>
      <c r="N16" s="88" t="s">
        <v>266</v>
      </c>
      <c r="O16" s="88" t="s">
        <v>215</v>
      </c>
      <c r="P16" s="88" t="s">
        <v>200</v>
      </c>
      <c r="Q16" s="88" t="s">
        <v>413</v>
      </c>
      <c r="R16" s="89">
        <v>33519</v>
      </c>
      <c r="S16" s="88" t="s">
        <v>414</v>
      </c>
      <c r="T16" s="89">
        <v>31757</v>
      </c>
      <c r="U16" s="88">
        <v>5544713968</v>
      </c>
      <c r="V16" s="88" t="s">
        <v>415</v>
      </c>
      <c r="W16" s="88" t="s">
        <v>416</v>
      </c>
      <c r="X16" s="39" t="s">
        <v>417</v>
      </c>
      <c r="Y16" s="90" t="s">
        <v>418</v>
      </c>
    </row>
    <row r="17" spans="1:25" ht="18.75" customHeight="1">
      <c r="A17" s="91">
        <v>16</v>
      </c>
      <c r="B17" s="100">
        <v>45394.891701388886</v>
      </c>
      <c r="C17" s="100">
        <v>45394.898645833331</v>
      </c>
      <c r="D17" s="92" t="s">
        <v>192</v>
      </c>
      <c r="E17" s="92"/>
      <c r="F17" s="92"/>
      <c r="G17" s="92" t="s">
        <v>419</v>
      </c>
      <c r="H17" s="92" t="s">
        <v>420</v>
      </c>
      <c r="I17" s="92" t="s">
        <v>245</v>
      </c>
      <c r="J17" s="92" t="s">
        <v>421</v>
      </c>
      <c r="K17" s="92" t="s">
        <v>422</v>
      </c>
      <c r="L17" s="92" t="s">
        <v>423</v>
      </c>
      <c r="M17" s="92" t="s">
        <v>424</v>
      </c>
      <c r="N17" s="92" t="s">
        <v>266</v>
      </c>
      <c r="O17" s="92" t="s">
        <v>425</v>
      </c>
      <c r="P17" s="92" t="s">
        <v>200</v>
      </c>
      <c r="Q17" s="92" t="s">
        <v>426</v>
      </c>
      <c r="R17" s="92" t="s">
        <v>427</v>
      </c>
      <c r="S17" s="92" t="s">
        <v>428</v>
      </c>
      <c r="T17" s="96">
        <v>27764</v>
      </c>
      <c r="U17" s="92">
        <v>5513582517</v>
      </c>
      <c r="V17" s="92" t="s">
        <v>358</v>
      </c>
      <c r="W17" s="92" t="s">
        <v>429</v>
      </c>
      <c r="X17" s="94" t="s">
        <v>430</v>
      </c>
      <c r="Y17" s="95" t="s">
        <v>431</v>
      </c>
    </row>
    <row r="18" spans="1:25">
      <c r="A18" s="87">
        <v>17</v>
      </c>
      <c r="B18" s="101">
        <v>45638.71502314815</v>
      </c>
      <c r="C18" s="101">
        <v>45638.723263888889</v>
      </c>
      <c r="D18" s="88" t="s">
        <v>192</v>
      </c>
      <c r="E18" s="88"/>
      <c r="F18" s="88"/>
      <c r="G18" s="88" t="s">
        <v>432</v>
      </c>
      <c r="H18" s="88" t="s">
        <v>433</v>
      </c>
      <c r="I18" s="88" t="s">
        <v>350</v>
      </c>
      <c r="J18" s="88" t="s">
        <v>212</v>
      </c>
      <c r="K18" s="88" t="s">
        <v>434</v>
      </c>
      <c r="L18" s="88">
        <v>14</v>
      </c>
      <c r="M18" s="88">
        <v>40</v>
      </c>
      <c r="N18" s="88" t="s">
        <v>215</v>
      </c>
      <c r="O18" s="88" t="s">
        <v>215</v>
      </c>
      <c r="P18" s="88" t="s">
        <v>200</v>
      </c>
      <c r="Q18" s="88" t="s">
        <v>435</v>
      </c>
      <c r="R18" s="89">
        <v>29714</v>
      </c>
      <c r="S18" s="88" t="s">
        <v>436</v>
      </c>
      <c r="T18" s="88" t="s">
        <v>437</v>
      </c>
      <c r="U18" s="88">
        <v>5561935871</v>
      </c>
      <c r="V18" s="88" t="s">
        <v>438</v>
      </c>
      <c r="W18" s="88" t="s">
        <v>328</v>
      </c>
      <c r="X18" s="88" t="s">
        <v>439</v>
      </c>
      <c r="Y18" s="90" t="s">
        <v>440</v>
      </c>
    </row>
    <row r="19" spans="1:25">
      <c r="A19" s="91">
        <v>18</v>
      </c>
      <c r="B19" s="99" t="s">
        <v>441</v>
      </c>
      <c r="C19" s="99" t="s">
        <v>442</v>
      </c>
      <c r="D19" s="92" t="s">
        <v>192</v>
      </c>
      <c r="E19" s="92"/>
      <c r="F19" s="92"/>
      <c r="G19" s="92" t="s">
        <v>443</v>
      </c>
      <c r="H19" s="96">
        <v>42097</v>
      </c>
      <c r="I19" s="92" t="s">
        <v>444</v>
      </c>
      <c r="J19" s="92" t="s">
        <v>445</v>
      </c>
      <c r="K19" s="92" t="s">
        <v>446</v>
      </c>
      <c r="L19" s="92" t="s">
        <v>447</v>
      </c>
      <c r="M19" s="92" t="s">
        <v>448</v>
      </c>
      <c r="N19" s="92" t="s">
        <v>449</v>
      </c>
      <c r="O19" s="92" t="s">
        <v>425</v>
      </c>
      <c r="P19" s="92" t="s">
        <v>200</v>
      </c>
      <c r="Q19" s="92" t="s">
        <v>450</v>
      </c>
      <c r="R19" s="96">
        <v>31382</v>
      </c>
      <c r="S19" s="92" t="s">
        <v>451</v>
      </c>
      <c r="T19" s="92" t="s">
        <v>452</v>
      </c>
      <c r="U19" s="92" t="s">
        <v>453</v>
      </c>
      <c r="V19" s="92" t="s">
        <v>454</v>
      </c>
      <c r="W19" s="92" t="s">
        <v>455</v>
      </c>
      <c r="X19" s="92" t="s">
        <v>456</v>
      </c>
      <c r="Y19" s="95" t="s">
        <v>457</v>
      </c>
    </row>
    <row r="20" spans="1:25">
      <c r="A20" s="87">
        <v>19</v>
      </c>
      <c r="B20" s="98" t="s">
        <v>458</v>
      </c>
      <c r="C20" s="98" t="s">
        <v>459</v>
      </c>
      <c r="D20" s="88" t="s">
        <v>192</v>
      </c>
      <c r="E20" s="88"/>
      <c r="F20" s="88"/>
      <c r="G20" s="88" t="s">
        <v>460</v>
      </c>
      <c r="H20" s="88" t="s">
        <v>461</v>
      </c>
      <c r="I20" s="88" t="s">
        <v>462</v>
      </c>
      <c r="J20" s="88" t="s">
        <v>463</v>
      </c>
      <c r="K20" s="88">
        <v>4</v>
      </c>
      <c r="L20" s="88">
        <v>144</v>
      </c>
      <c r="M20" s="88" t="s">
        <v>464</v>
      </c>
      <c r="N20" s="88" t="s">
        <v>465</v>
      </c>
      <c r="O20" s="88" t="s">
        <v>215</v>
      </c>
      <c r="P20" s="88" t="s">
        <v>215</v>
      </c>
      <c r="Q20" s="88" t="s">
        <v>466</v>
      </c>
      <c r="R20" s="88" t="s">
        <v>467</v>
      </c>
      <c r="S20" s="88" t="s">
        <v>468</v>
      </c>
      <c r="T20" s="88" t="s">
        <v>469</v>
      </c>
      <c r="U20" s="88">
        <v>7294772804</v>
      </c>
      <c r="V20" s="88" t="s">
        <v>470</v>
      </c>
      <c r="W20" s="88" t="s">
        <v>471</v>
      </c>
      <c r="X20" s="88" t="s">
        <v>472</v>
      </c>
      <c r="Y20" s="90"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nayeirbaga@gmail.com</dc:creator>
  <cp:keywords/>
  <dc:description/>
  <cp:lastModifiedBy>JUAN LUIS SILVA AVILA</cp:lastModifiedBy>
  <cp:revision/>
  <dcterms:created xsi:type="dcterms:W3CDTF">2024-10-06T23:48:02Z</dcterms:created>
  <dcterms:modified xsi:type="dcterms:W3CDTF">2025-04-13T21:21:29Z</dcterms:modified>
  <cp:category/>
  <cp:contentStatus/>
</cp:coreProperties>
</file>